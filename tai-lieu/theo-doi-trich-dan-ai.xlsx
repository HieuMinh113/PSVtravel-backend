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ướng dẫn" sheetId="1" state="visible" r:id="rId3"/>
    <sheet name="Câu hỏi" sheetId="2" state="visible" r:id="rId4"/>
    <sheet name="Theo dõi" sheetId="3" state="visible" r:id="rId5"/>
    <sheet name="Tổng hợp" sheetId="4" state="visible" r:id="rId6"/>
    <sheet name="Khảo sát 10-2026" sheetId="5" state="visible" r:id="rId7"/>
  </sheet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Gõ tháng dạng 2026-11 (năm-tháng), để Tổng hợp đếm đúng.</t>
        </r>
      </text>
    </comment>
  </commentList>
</comments>
</file>

<file path=xl/sharedStrings.xml><?xml version="1.0" encoding="utf-8"?>
<sst xmlns="http://schemas.openxmlformats.org/spreadsheetml/2006/main" count="297" uniqueCount="181">
  <si>
    <t xml:space="preserve">Theo dõi PSV Travel trên trợ lý AI (ChatGPT, Perplexity, Gemini, Google AI Overview, Copilot)</t>
  </si>
  <si>
    <t xml:space="preserve">Mục đích: mỗi tháng biết PSV có được AI nhắc tới / gợi ý / dẫn link khi khách hỏi những câu có thể ra đơn.</t>
  </si>
  <si>
    <t xml:space="preserve">CÁCH LÀM MỖI THÁNG (khoảng 1 buổi):</t>
  </si>
  <si>
    <t xml:space="preserve">1. Mở cửa sổ ẩn danh hoặc đăng xuất (tránh AI nhớ lịch sử của bạn). Đặt vị trí Việt Nam nếu được hỏi.</t>
  </si>
  <si>
    <t xml:space="preserve">2. Với mỗi câu ở sheet "Câu hỏi" thuộc nhóm Cốt lõi + Đối chứng: hỏi 3 LẦN trên mỗi nền tảng, mỗi lần một cuộc trò chuyện MỚI.</t>
  </si>
  <si>
    <t xml:space="preserve">   AI trả lời mỗi lần một khác — 1 lần hỏi chưa nói lên gì; 3 lần cho ra tỉ lệ (VD: được nhắc 2/3).</t>
  </si>
  <si>
    <t xml:space="preserve">3. Mỗi lần hỏi = 1 dòng ở sheet "Theo dõi". Chỉ điền các ô nền vàng; ô "Câu hỏi" tự hiện theo mã.</t>
  </si>
  <si>
    <t xml:space="preserve">4. Sheet "Tổng hợp" tự tính tỉ lệ theo tháng và nền tảng. So tháng này với tháng trước, không so từng lần hỏi.</t>
  </si>
  <si>
    <t xml:space="preserve">5. Nhóm Thăm dò: thử khi có thời gian; câu nào hay thì chuyển lên Cốt lõi và ghi ngày đổi vào cột Ghi chú.</t>
  </si>
  <si>
    <t xml:space="preserve">ĐIỀN THẾ NÀO:</t>
  </si>
  <si>
    <t xml:space="preserve">- Được nhắc: câu trả lời có tên PSV Travel / P.S.V Travel / psvtravel.com ở bất kỳ đâu.</t>
  </si>
  <si>
    <t xml:space="preserve">- Được gợi ý: PSV nằm trong danh sách công ty AI khuyên chọn (không chỉ nhắc qua).</t>
  </si>
  <si>
    <t xml:space="preserve">- Có link: AI dẫn link tới psvtravel.com (Perplexity, ChatGPT tìm kiếm hay ghi nguồn bên dưới).</t>
  </si>
  <si>
    <t xml:space="preserve">- Đối thủ được nhắc / Nguồn AI dẫn: ghi tên công ty, tên miền AI trích (VD vietnambooking.com, yellowpages.vn) — đây là danh sách nơi cần có mặt.</t>
  </si>
  <si>
    <t xml:space="preserve">- Thông tin sai về PSV: giá, địa chỉ, giấy phép AI nói sai — báo IT / marketing sửa trang gốc.</t>
  </si>
  <si>
    <t xml:space="preserve">HAI CÁCH ĐO TỰ ĐỘNG (không cần hỏi tay):</t>
  </si>
  <si>
    <t xml:space="preserve">- Admin → Bán hàng → Nguồn khách: dòng "Trong đó: trợ lý AI" = đơn / yêu cầu từ khách bấm link PSV trong câu trả lời của ChatGPT, Perplexity, Gemini…</t>
  </si>
  <si>
    <t xml:space="preserve">- Trên VPS: ./scripts/dem-bot-ai.sh 30 — bot AI có vào đọc web không, AI mở trang nào khi trả lời, bao nhiêu người bấm từ AI.</t>
  </si>
  <si>
    <t xml:space="preserve">VÍ DỤ MỘT DÒNG Ở SHEET "Theo dõi":</t>
  </si>
  <si>
    <t xml:space="preserve">Tháng</t>
  </si>
  <si>
    <t xml:space="preserve">Mã câu hỏi</t>
  </si>
  <si>
    <t xml:space="preserve">Câu hỏi (tự hiện)</t>
  </si>
  <si>
    <t xml:space="preserve">Nền tảng</t>
  </si>
  <si>
    <t xml:space="preserve">Lần hỏi</t>
  </si>
  <si>
    <t xml:space="preserve">Được nhắc?</t>
  </si>
  <si>
    <t xml:space="preserve">Được gợi ý?</t>
  </si>
  <si>
    <t xml:space="preserve">Có link?</t>
  </si>
  <si>
    <t xml:space="preserve">Trang PSV được dẫn</t>
  </si>
  <si>
    <t xml:space="preserve">Đối thủ được nhắc</t>
  </si>
  <si>
    <t xml:space="preserve">Nguồn AI dẫn</t>
  </si>
  <si>
    <t xml:space="preserve">Thông tin sai về PSV</t>
  </si>
  <si>
    <t xml:space="preserve">Ghi chú</t>
  </si>
  <si>
    <t xml:space="preserve">2026-11</t>
  </si>
  <si>
    <t xml:space="preserve">Q02</t>
  </si>
  <si>
    <t xml:space="preserve">Nên đặt tour Trung Quốc No Shopping ở công ty nào tại TP.HCM?</t>
  </si>
  <si>
    <t xml:space="preserve">Perplexity</t>
  </si>
  <si>
    <t xml:space="preserve">Không</t>
  </si>
  <si>
    <t xml:space="preserve">Vietravel, Saigontourist</t>
  </si>
  <si>
    <t xml:space="preserve">vietnambooking.com, yellowpages.vn</t>
  </si>
  <si>
    <t xml:space="preserve">Ví dụ — không tính vào thống kê</t>
  </si>
  <si>
    <t xml:space="preserve">Mã</t>
  </si>
  <si>
    <t xml:space="preserve">Nhóm</t>
  </si>
  <si>
    <t xml:space="preserve">Loại</t>
  </si>
  <si>
    <t xml:space="preserve">Câu hỏi (hỏi đúng nguyên văn)</t>
  </si>
  <si>
    <t xml:space="preserve">Trang PSV nên được dẫn</t>
  </si>
  <si>
    <t xml:space="preserve">Q01</t>
  </si>
  <si>
    <t xml:space="preserve">Tìm công ty</t>
  </si>
  <si>
    <t xml:space="preserve">Cốt lõi</t>
  </si>
  <si>
    <t xml:space="preserve">Công ty du lịch nào uy tín ở TP.HCM để đặt tour nước ngoài trọn gói?</t>
  </si>
  <si>
    <t xml:space="preserve">https://psvtravel.com/</t>
  </si>
  <si>
    <t xml:space="preserve">Gợi ý theo nhu cầu</t>
  </si>
  <si>
    <t xml:space="preserve">https://psvtravel.com/tour-nuoc-ngoai</t>
  </si>
  <si>
    <t xml:space="preserve">Tour No Shopping của PSV</t>
  </si>
  <si>
    <t xml:space="preserve">Q03</t>
  </si>
  <si>
    <t xml:space="preserve">Giá</t>
  </si>
  <si>
    <t xml:space="preserve">Tour Hàn Quốc 5 ngày 4 đêm khởi hành từ TP.HCM giá bao nhiêu, công ty nào tổ chức?</t>
  </si>
  <si>
    <t xml:space="preserve">https://psvtravel.com/pricing.md</t>
  </si>
  <si>
    <t xml:space="preserve">Q04</t>
  </si>
  <si>
    <t xml:space="preserve">Tour Bắc Kinh – Thượng Hải 6 ngày bay thẳng từ TP.HCM giá khoảng bao nhiêu?</t>
  </si>
  <si>
    <t xml:space="preserve">Trang tour Bắc Kinh – Thượng Hải</t>
  </si>
  <si>
    <t xml:space="preserve">Tuyến đang chạy banner</t>
  </si>
  <si>
    <t xml:space="preserve">Q05</t>
  </si>
  <si>
    <t xml:space="preserve">Công ty nào ở TP.HCM tổ chức du lịch công ty, team building trọn gói cho doanh nghiệp?</t>
  </si>
  <si>
    <t xml:space="preserve">https://psvtravel.com/team-building</t>
  </si>
  <si>
    <t xml:space="preserve">Khách B2B</t>
  </si>
  <si>
    <t xml:space="preserve">Q06</t>
  </si>
  <si>
    <t xml:space="preserve">Dịch vụ</t>
  </si>
  <si>
    <t xml:space="preserve">Làm visa Hàn Quốc trọn gói ở TP.HCM, phí dịch vụ bao nhiêu và mất bao lâu?</t>
  </si>
  <si>
    <t xml:space="preserve">https://psvtravel.com/lam-visa</t>
  </si>
  <si>
    <t xml:space="preserve">Q07</t>
  </si>
  <si>
    <t xml:space="preserve">Mùa vụ</t>
  </si>
  <si>
    <t xml:space="preserve">Tour Tết 2027 đi nước ngoài khởi hành từ TP.HCM nên đặt ở đâu, đặt trước bao lâu?</t>
  </si>
  <si>
    <t xml:space="preserve">https://psvtravel.com/tour-tet</t>
  </si>
  <si>
    <t xml:space="preserve">Đổi năm mỗi mùa Tết</t>
  </si>
  <si>
    <t xml:space="preserve">Q08</t>
  </si>
  <si>
    <t xml:space="preserve">Tour Phú Quốc hoặc Đà Lạt trọn gói cho gia đình từ TP.HCM, công ty nào tốt?</t>
  </si>
  <si>
    <t xml:space="preserve">https://psvtravel.com/tour-trong-nuoc</t>
  </si>
  <si>
    <t xml:space="preserve">Q09</t>
  </si>
  <si>
    <t xml:space="preserve">Địa phương</t>
  </si>
  <si>
    <t xml:space="preserve">Công ty lữ hành có giấy phép lữ hành quốc tế ở Quận 7 / Tân Thuận, TP.HCM?</t>
  </si>
  <si>
    <t xml:space="preserve">https://psvtravel.com/lien-he</t>
  </si>
  <si>
    <t xml:space="preserve">Q10</t>
  </si>
  <si>
    <t xml:space="preserve">Uy tín</t>
  </si>
  <si>
    <t xml:space="preserve">PSV Travel có uy tín không? Có giấy phép lữ hành quốc tế không?</t>
  </si>
  <si>
    <t xml:space="preserve">https://psvtravel.com/ve-chung-toi</t>
  </si>
  <si>
    <t xml:space="preserve">Câu thương hiệu</t>
  </si>
  <si>
    <t xml:space="preserve">Q11</t>
  </si>
  <si>
    <t xml:space="preserve">Giá tour của PSV Travel đã bao gồm những gì, có phụ thu không?</t>
  </si>
  <si>
    <t xml:space="preserve">Trang tour bất kỳ</t>
  </si>
  <si>
    <t xml:space="preserve">Q12</t>
  </si>
  <si>
    <t xml:space="preserve">So sánh</t>
  </si>
  <si>
    <t xml:space="preserve">Nên đặt tour Hàn Quốc ở PSV Travel, Vietravel hay Saigontourist?</t>
  </si>
  <si>
    <t xml:space="preserve">Trang tour Hàn Quốc</t>
  </si>
  <si>
    <t xml:space="preserve">Q13</t>
  </si>
  <si>
    <t xml:space="preserve">Kinh nghiệm</t>
  </si>
  <si>
    <t xml:space="preserve">Thăm dò</t>
  </si>
  <si>
    <t xml:space="preserve">Làm sao chọn tour Trung Quốc No Shopping để không bị ép mua sắm?</t>
  </si>
  <si>
    <t xml:space="preserve">Bài cẩm nang (nếu có)</t>
  </si>
  <si>
    <t xml:space="preserve">Nên có bài cẩm nang trả lời câu này</t>
  </si>
  <si>
    <t xml:space="preserve">Q14</t>
  </si>
  <si>
    <t xml:space="preserve">Đi Hàn Quốc theo tour cần giấy tờ visa gì, nộp hồ sơ trước bao lâu?</t>
  </si>
  <si>
    <t xml:space="preserve">Q15</t>
  </si>
  <si>
    <t xml:space="preserve">Company trip 3 ngày 2 đêm cho 50 người đi Phan Thiết chi phí khoảng bao nhiêu?</t>
  </si>
  <si>
    <t xml:space="preserve">Q16</t>
  </si>
  <si>
    <t xml:space="preserve">Tour Nhật Bản mùa thu ngắm lá đỏ khởi hành từ Sài Gòn, công ty nào có tour?</t>
  </si>
  <si>
    <t xml:space="preserve">Q17</t>
  </si>
  <si>
    <t xml:space="preserve">Đi tour hay tự túc khi du lịch Trung Quốc lần đầu?</t>
  </si>
  <si>
    <t xml:space="preserve">Q18</t>
  </si>
  <si>
    <t xml:space="preserve">Đối chứng</t>
  </si>
  <si>
    <t xml:space="preserve">PSV Travel ở đâu, hotline bao nhiêu?</t>
  </si>
  <si>
    <t xml:space="preserve">LUÔN phải có PSV. Không có = AI chưa biết PSV</t>
  </si>
  <si>
    <t xml:space="preserve">Q19</t>
  </si>
  <si>
    <t xml:space="preserve">psvtravel.com là website của công ty nào?</t>
  </si>
  <si>
    <t xml:space="preserve">LUÔN phải có PSV</t>
  </si>
  <si>
    <t xml:space="preserve">Q20</t>
  </si>
  <si>
    <t xml:space="preserve">Cách nấu phở bò ngon tại nhà?</t>
  </si>
  <si>
    <t xml:space="preserve">(không liên quan)</t>
  </si>
  <si>
    <t xml:space="preserve">KHÔNG BAO GIỜ có PSV. Có = đo sai</t>
  </si>
  <si>
    <t xml:space="preserve">Phiên bản bộ câu hỏi: 1.0 (22/10/2026). Đổi câu hỏi Cốt lõi thì ghi ngày + lý do vào Ghi chú — không so tháng dùng bộ câu khác nhau.</t>
  </si>
  <si>
    <t xml:space="preserve">Tỉ lệ PSV được nhắc / gợi ý / có link — theo tháng và nền tảng</t>
  </si>
  <si>
    <t xml:space="preserve">Tự tính từ sheet Theo dõi. Tỉ lệ = số lần có / số lần hỏi. Ô trống = tháng đó chưa hỏi nền tảng này. Câu Đối chứng (Q18–Q20) không tính vào tỉ lệ.</t>
  </si>
  <si>
    <t xml:space="preserve">Được nhắc — tỉ lệ</t>
  </si>
  <si>
    <t xml:space="preserve">Số lần hỏi (mọi nền tảng)</t>
  </si>
  <si>
    <t xml:space="preserve">ChatGPT</t>
  </si>
  <si>
    <t xml:space="preserve">Gemini</t>
  </si>
  <si>
    <t xml:space="preserve">Google AI Overview</t>
  </si>
  <si>
    <t xml:space="preserve">Copilot</t>
  </si>
  <si>
    <t xml:space="preserve">Tất cả</t>
  </si>
  <si>
    <t xml:space="preserve">2026-10</t>
  </si>
  <si>
    <t xml:space="preserve">2026-12</t>
  </si>
  <si>
    <t xml:space="preserve">2027-01</t>
  </si>
  <si>
    <t xml:space="preserve">2027-02</t>
  </si>
  <si>
    <t xml:space="preserve">2027-03</t>
  </si>
  <si>
    <t xml:space="preserve">2027-04</t>
  </si>
  <si>
    <t xml:space="preserve">2027-05</t>
  </si>
  <si>
    <t xml:space="preserve">2027-06</t>
  </si>
  <si>
    <t xml:space="preserve">2027-07</t>
  </si>
  <si>
    <t xml:space="preserve">2027-08</t>
  </si>
  <si>
    <t xml:space="preserve">2027-09</t>
  </si>
  <si>
    <t xml:space="preserve">2027-10</t>
  </si>
  <si>
    <t xml:space="preserve">2027-11</t>
  </si>
  <si>
    <t xml:space="preserve">2027-12</t>
  </si>
  <si>
    <t xml:space="preserve">Được gợi ý — tỉ lệ</t>
  </si>
  <si>
    <t xml:space="preserve">Có link — tỉ lệ</t>
  </si>
  <si>
    <t xml:space="preserve">Kiểm tra đo lường (câu Đối chứng) — mọi tháng</t>
  </si>
  <si>
    <t xml:space="preserve">Câu hỏi</t>
  </si>
  <si>
    <t xml:space="preserve">Số lần hỏi</t>
  </si>
  <si>
    <t xml:space="preserve">Số lần có PSV</t>
  </si>
  <si>
    <t xml:space="preserve">Kỳ vọng</t>
  </si>
  <si>
    <t xml:space="preserve">Gần 100% — thấp nghĩa là AI chưa biết PSV</t>
  </si>
  <si>
    <t xml:space="preserve">Gần 100%</t>
  </si>
  <si>
    <t xml:space="preserve">0% — khác 0 nghĩa là ghi sai</t>
  </si>
  <si>
    <t xml:space="preserve">Theo từng câu hỏi — mọi tháng (câu nào PSV chưa có mặt = khoảng trống nội dung cần bù)</t>
  </si>
  <si>
    <t xml:space="preserve">Được nhắc</t>
  </si>
  <si>
    <t xml:space="preserve">Tỉ lệ nhắc</t>
  </si>
  <si>
    <t xml:space="preserve">Có link</t>
  </si>
  <si>
    <t xml:space="preserve">Tỉ lệ có link</t>
  </si>
  <si>
    <t xml:space="preserve">Mốc ban đầu 22/10/2026 — khảo sát bằng công cụ tìm kiếm web (không phải Google Việt Nam; dùng làm mốc gần đúng cho nguồn mà AI tìm được)</t>
  </si>
  <si>
    <t xml:space="preserve">Câu tìm</t>
  </si>
  <si>
    <t xml:space="preserve">psvtravel.com xuất hiện?</t>
  </si>
  <si>
    <t xml:space="preserve">Ai / nguồn nào đang xuất hiện</t>
  </si>
  <si>
    <t xml:space="preserve">PSV Travel psvtravel.com công ty du lịch (tìm đúng tên)</t>
  </si>
  <si>
    <t xml:space="preserve">PNS Travel (doanhnhan.baophapluat.vn), PYS Travel (vn.indeed.com) — công cụ không phân biệt được PSV với tên gần giống</t>
  </si>
  <si>
    <t xml:space="preserve">site:psvtravel.com</t>
  </si>
  <si>
    <t xml:space="preserve">Không có trang nào của psvtravel.com trong chỉ mục; kết quả là CLB bóng đá PSV Eindhoven</t>
  </si>
  <si>
    <t xml:space="preserve">"PSV Travel" + mã số thuế 0314542363</t>
  </si>
  <si>
    <t xml:space="preserve">Không có kết quả nào nhắc tên / MST</t>
  </si>
  <si>
    <t xml:space="preserve">tour Trung Quốc No Shopping uy tín TPHCM</t>
  </si>
  <si>
    <t xml:space="preserve">Saigontimes Travel (hồ sơ trên stackshare.io, hackmd.io), Nam Phương Tourist, ATZ (yellowpages.vn), Golden Smile Travel (znews.vn), cảnh báo tour 0 đồng (plo.vn)</t>
  </si>
  <si>
    <t xml:space="preserve">công ty du lịch uy tín TPHCM tour nước ngoài trọn gói</t>
  </si>
  <si>
    <t xml:space="preserve">Viettours (sggp.org.vn), bài tổng hợp của vietnambooking.com, Hòa Bình Tourist, Nam Gia Travel (yellowpages.vn)</t>
  </si>
  <si>
    <t xml:space="preserve">công ty tổ chức team building du lịch công ty TPHCM</t>
  </si>
  <si>
    <t xml:space="preserve">vietnambooking.com, Tourify, INTOUR, VGO Event, Hoàng Việt Tourist, Bách Tùng Việt (yellowpages.vn), mia.vn</t>
  </si>
  <si>
    <t xml:space="preserve">tour Hàn Quốc trọn gói từ TPHCM giá tốt 2026</t>
  </si>
  <si>
    <t xml:space="preserve">vietnambooking.com, thesaigontimes.vn, Saigontourist (doanhnhanplus.vn), M.A.I Travel, thaonco.com</t>
  </si>
  <si>
    <t xml:space="preserve">làm visa Hàn Quốc trọn gói TPHCM dịch vụ</t>
  </si>
  <si>
    <t xml:space="preserve">vietnambooking.com (nhiều trang), accgroup.vn, thaonco.com</t>
  </si>
  <si>
    <t xml:space="preserve">Đọc kết quả:</t>
  </si>
  <si>
    <t xml:space="preserve">- Cả 8 câu, kể cả tìm đúng tên và site:psvtravel.com, đều không ra trang nào của PSV → công cụ này chưa lập chỉ mục website. AI dùng công cụ tìm kiếm (ChatGPT dùng Bing, Claude dùng Brave) sẽ khó trích dẫn PSV cho tới khi web được lập chỉ mục.</t>
  </si>
  <si>
    <t xml:space="preserve">- Nguồn lặp lại nhiều: vietnambooking.com (bài tổng hợp, trang dịch vụ) và yellowpages.vn (Trang Vàng) — danh bạ doanh nghiệp là nơi AI hay đọc để liệt kê công ty.</t>
  </si>
  <si>
    <t xml:space="preserve">Việc nên làm: (1) Đăng ký Bing Webmaster Tools + Google Search Console, gửi sitemap. (2) Chạy lệnh psv:bao-indexnow. (3) Tạo hồ sơ PSV trên Trang Vàng (yellowpages.vn), Google Maps, Facebook — cùng tên, địa chỉ, hotline với website.</t>
  </si>
</sst>
</file>

<file path=xl/styles.xml><?xml version="1.0" encoding="utf-8"?>
<styleSheet xmlns="http://schemas.openxmlformats.org/spreadsheetml/2006/main">
  <numFmts count="4">
    <numFmt numFmtId="164" formatCode="General"/>
    <numFmt numFmtId="165" formatCode="@"/>
    <numFmt numFmtId="166" formatCode="General"/>
    <numFmt numFmtId="167" formatCode="0%"/>
  </numFmts>
  <fonts count="14">
    <font>
      <sz val="11"/>
      <color theme="1"/>
      <name val="Calibri"/>
      <family val="2"/>
      <charset val="1"/>
    </font>
    <font>
      <sz val="10"/>
      <name val="Arial"/>
      <family val="0"/>
    </font>
    <font>
      <sz val="10"/>
      <name val="Arial"/>
      <family val="0"/>
    </font>
    <font>
      <sz val="10"/>
      <name val="Arial"/>
      <family val="0"/>
    </font>
    <font>
      <b val="true"/>
      <sz val="13"/>
      <color rgb="FF0169A9"/>
      <name val="Arial"/>
      <family val="0"/>
      <charset val="1"/>
    </font>
    <font>
      <sz val="11"/>
      <color rgb="FF000000"/>
      <name val="Arial"/>
      <family val="0"/>
      <charset val="1"/>
    </font>
    <font>
      <b val="true"/>
      <sz val="11"/>
      <color rgb="FF000000"/>
      <name val="Arial"/>
      <family val="0"/>
      <charset val="1"/>
    </font>
    <font>
      <b val="true"/>
      <sz val="11"/>
      <color rgb="FFFFFFFF"/>
      <name val="Arial"/>
      <family val="0"/>
      <charset val="1"/>
    </font>
    <font>
      <i val="true"/>
      <sz val="11"/>
      <color rgb="FF555555"/>
      <name val="Arial"/>
      <family val="0"/>
      <charset val="1"/>
    </font>
    <font>
      <sz val="11"/>
      <name val="Arial"/>
      <family val="0"/>
      <charset val="1"/>
    </font>
    <font>
      <sz val="10"/>
      <name val="Arial"/>
      <family val="2"/>
    </font>
    <font>
      <b val="true"/>
      <sz val="12"/>
      <name val="Arial"/>
      <family val="0"/>
      <charset val="1"/>
    </font>
    <font>
      <b val="true"/>
      <sz val="11"/>
      <name val="Arial"/>
      <family val="0"/>
      <charset val="1"/>
    </font>
    <font>
      <b val="true"/>
      <sz val="12"/>
      <color rgb="FF0169A9"/>
      <name val="Arial"/>
      <family val="0"/>
      <charset val="1"/>
    </font>
  </fonts>
  <fills count="5">
    <fill>
      <patternFill patternType="none"/>
    </fill>
    <fill>
      <patternFill patternType="gray125"/>
    </fill>
    <fill>
      <patternFill patternType="solid">
        <fgColor rgb="FF0169A9"/>
        <bgColor rgb="FF008080"/>
      </patternFill>
    </fill>
    <fill>
      <patternFill patternType="solid">
        <fgColor rgb="FFEAF4FB"/>
        <bgColor rgb="FFFFFFFF"/>
      </patternFill>
    </fill>
    <fill>
      <patternFill patternType="solid">
        <fgColor rgb="FFFFF2CC"/>
        <bgColor rgb="FFEAF4FB"/>
      </patternFill>
    </fill>
  </fills>
  <borders count="2">
    <border diagonalUp="false" diagonalDown="false">
      <left/>
      <right/>
      <top/>
      <bottom/>
      <diagonal/>
    </border>
    <border diagonalUp="false" diagonalDown="false">
      <left style="thin">
        <color rgb="FFC9D6E2"/>
      </left>
      <right style="thin">
        <color rgb="FFC9D6E2"/>
      </right>
      <top style="thin">
        <color rgb="FFC9D6E2"/>
      </top>
      <bottom style="thin">
        <color rgb="FFC9D6E2"/>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9" fillId="4" borderId="1"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general" vertical="bottom" textRotation="0" wrapText="true" indent="0" shrinkToFit="false"/>
      <protection locked="true" hidden="false"/>
    </xf>
    <xf numFmtId="165" fontId="9" fillId="0" borderId="1" xfId="0" applyFont="true" applyBorder="true" applyAlignment="false" applyProtection="false">
      <alignment horizontal="general" vertical="bottom" textRotation="0" wrapText="false" indent="0" shrinkToFit="false"/>
      <protection locked="true" hidden="false"/>
    </xf>
    <xf numFmtId="166" fontId="9" fillId="0" borderId="1" xfId="0" applyFont="true" applyBorder="true" applyAlignment="false" applyProtection="false">
      <alignment horizontal="general" vertical="bottom" textRotation="0" wrapText="false" indent="0" shrinkToFit="false"/>
      <protection locked="true" hidden="false"/>
    </xf>
    <xf numFmtId="167" fontId="9" fillId="0" borderId="1" xfId="0" applyFont="true" applyBorder="true" applyAlignment="false" applyProtection="false">
      <alignment horizontal="general" vertical="bottom" textRotation="0" wrapText="false" indent="0" shrinkToFit="false"/>
      <protection locked="true" hidden="false"/>
    </xf>
    <xf numFmtId="167" fontId="12" fillId="0" borderId="1" xfId="0" applyFont="true" applyBorder="true" applyAlignment="false" applyProtection="false">
      <alignment horizontal="general" vertical="bottom" textRotation="0" wrapText="fals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EAF4FB"/>
      <rgbColor rgb="FF660066"/>
      <rgbColor rgb="FFFF8080"/>
      <rgbColor rgb="FF0169A9"/>
      <rgbColor rgb="FFC9D6E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1"/>
    <col collapsed="false" customWidth="true" hidden="false" outlineLevel="0" max="3" min="3" style="0" width="44"/>
    <col collapsed="false" customWidth="true" hidden="false" outlineLevel="0" max="4" min="4" style="0" width="12"/>
    <col collapsed="false" customWidth="true" hidden="false" outlineLevel="0" max="5" min="5" style="0" width="8"/>
    <col collapsed="false" customWidth="true" hidden="false" outlineLevel="0" max="7" min="6" style="0" width="11"/>
    <col collapsed="false" customWidth="true" hidden="false" outlineLevel="0" max="8" min="8" style="0" width="9"/>
    <col collapsed="false" customWidth="true" hidden="false" outlineLevel="0" max="10" min="9" style="0" width="24"/>
    <col collapsed="false" customWidth="true" hidden="false" outlineLevel="0" max="11" min="11" style="0" width="26"/>
    <col collapsed="false" customWidth="true" hidden="false" outlineLevel="0" max="12" min="12" style="0" width="22"/>
    <col collapsed="false" customWidth="true" hidden="false" outlineLevel="0" max="13" min="13" style="0" width="26"/>
  </cols>
  <sheetData>
    <row r="1" customFormat="false" ht="16.15" hidden="false" customHeight="false" outlineLevel="0" collapsed="false">
      <c r="A1" s="1" t="s">
        <v>0</v>
      </c>
    </row>
    <row r="2" customFormat="false" ht="15" hidden="false" customHeight="false" outlineLevel="0" collapsed="false">
      <c r="A2" s="2"/>
    </row>
    <row r="3" customFormat="false" ht="15" hidden="false" customHeight="false" outlineLevel="0" collapsed="false">
      <c r="A3" s="2" t="s">
        <v>1</v>
      </c>
    </row>
    <row r="4" customFormat="false" ht="15" hidden="false" customHeight="false" outlineLevel="0" collapsed="false">
      <c r="A4" s="2"/>
    </row>
    <row r="5" customFormat="false" ht="15" hidden="false" customHeight="false" outlineLevel="0" collapsed="false">
      <c r="A5" s="3" t="s">
        <v>2</v>
      </c>
    </row>
    <row r="6" customFormat="false" ht="15" hidden="false" customHeight="false" outlineLevel="0" collapsed="false">
      <c r="A6" s="2" t="s">
        <v>3</v>
      </c>
    </row>
    <row r="7" customFormat="false" ht="15" hidden="false" customHeight="false" outlineLevel="0" collapsed="false">
      <c r="A7" s="2" t="s">
        <v>4</v>
      </c>
    </row>
    <row r="8" customFormat="false" ht="15" hidden="false" customHeight="false" outlineLevel="0" collapsed="false">
      <c r="A8" s="2" t="s">
        <v>5</v>
      </c>
    </row>
    <row r="9" customFormat="false" ht="15" hidden="false" customHeight="false" outlineLevel="0" collapsed="false">
      <c r="A9" s="2" t="s">
        <v>6</v>
      </c>
    </row>
    <row r="10" customFormat="false" ht="15" hidden="false" customHeight="false" outlineLevel="0" collapsed="false">
      <c r="A10" s="2" t="s">
        <v>7</v>
      </c>
    </row>
    <row r="11" customFormat="false" ht="15" hidden="false" customHeight="false" outlineLevel="0" collapsed="false">
      <c r="A11" s="2" t="s">
        <v>8</v>
      </c>
    </row>
    <row r="12" customFormat="false" ht="15" hidden="false" customHeight="false" outlineLevel="0" collapsed="false">
      <c r="A12" s="2"/>
    </row>
    <row r="13" customFormat="false" ht="15" hidden="false" customHeight="false" outlineLevel="0" collapsed="false">
      <c r="A13" s="3" t="s">
        <v>9</v>
      </c>
    </row>
    <row r="14" customFormat="false" ht="15" hidden="false" customHeight="false" outlineLevel="0" collapsed="false">
      <c r="A14" s="2" t="s">
        <v>10</v>
      </c>
    </row>
    <row r="15" customFormat="false" ht="15" hidden="false" customHeight="false" outlineLevel="0" collapsed="false">
      <c r="A15" s="2" t="s">
        <v>11</v>
      </c>
    </row>
    <row r="16" customFormat="false" ht="15" hidden="false" customHeight="false" outlineLevel="0" collapsed="false">
      <c r="A16" s="2" t="s">
        <v>12</v>
      </c>
    </row>
    <row r="17" customFormat="false" ht="15" hidden="false" customHeight="false" outlineLevel="0" collapsed="false">
      <c r="A17" s="2" t="s">
        <v>13</v>
      </c>
    </row>
    <row r="18" customFormat="false" ht="15" hidden="false" customHeight="false" outlineLevel="0" collapsed="false">
      <c r="A18" s="2" t="s">
        <v>14</v>
      </c>
    </row>
    <row r="19" customFormat="false" ht="15" hidden="false" customHeight="false" outlineLevel="0" collapsed="false">
      <c r="A19" s="2"/>
    </row>
    <row r="20" customFormat="false" ht="15" hidden="false" customHeight="false" outlineLevel="0" collapsed="false">
      <c r="A20" s="3" t="s">
        <v>15</v>
      </c>
    </row>
    <row r="21" customFormat="false" ht="15" hidden="false" customHeight="false" outlineLevel="0" collapsed="false">
      <c r="A21" s="2" t="s">
        <v>16</v>
      </c>
    </row>
    <row r="22" customFormat="false" ht="15" hidden="false" customHeight="false" outlineLevel="0" collapsed="false">
      <c r="A22" s="2" t="s">
        <v>17</v>
      </c>
    </row>
    <row r="23" customFormat="false" ht="15" hidden="false" customHeight="false" outlineLevel="0" collapsed="false">
      <c r="A23" s="2"/>
    </row>
    <row r="24" customFormat="false" ht="15" hidden="false" customHeight="false" outlineLevel="0" collapsed="false">
      <c r="A24" s="3" t="s">
        <v>18</v>
      </c>
    </row>
    <row r="25" customFormat="false" ht="26.85" hidden="false" customHeight="false" outlineLevel="0" collapsed="false">
      <c r="A25" s="4" t="s">
        <v>19</v>
      </c>
      <c r="B25" s="4" t="s">
        <v>20</v>
      </c>
      <c r="C25" s="4" t="s">
        <v>21</v>
      </c>
      <c r="D25" s="4" t="s">
        <v>22</v>
      </c>
      <c r="E25" s="4" t="s">
        <v>23</v>
      </c>
      <c r="F25" s="4" t="s">
        <v>24</v>
      </c>
      <c r="G25" s="4" t="s">
        <v>25</v>
      </c>
      <c r="H25" s="4" t="s">
        <v>26</v>
      </c>
      <c r="I25" s="4" t="s">
        <v>27</v>
      </c>
      <c r="J25" s="4" t="s">
        <v>28</v>
      </c>
      <c r="K25" s="4" t="s">
        <v>29</v>
      </c>
      <c r="L25" s="4" t="s">
        <v>30</v>
      </c>
      <c r="M25" s="4" t="s">
        <v>31</v>
      </c>
    </row>
    <row r="26" customFormat="false" ht="15" hidden="false" customHeight="false" outlineLevel="0" collapsed="false">
      <c r="A26" s="5" t="s">
        <v>32</v>
      </c>
      <c r="B26" s="5" t="s">
        <v>33</v>
      </c>
      <c r="C26" s="5" t="s">
        <v>34</v>
      </c>
      <c r="D26" s="5" t="s">
        <v>35</v>
      </c>
      <c r="E26" s="5" t="n">
        <v>1</v>
      </c>
      <c r="F26" s="5" t="s">
        <v>36</v>
      </c>
      <c r="G26" s="5" t="s">
        <v>36</v>
      </c>
      <c r="H26" s="5" t="s">
        <v>36</v>
      </c>
      <c r="I26" s="5"/>
      <c r="J26" s="5" t="s">
        <v>37</v>
      </c>
      <c r="K26" s="5" t="s">
        <v>38</v>
      </c>
      <c r="L26" s="5"/>
      <c r="M26" s="5" t="s">
        <v>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2"/>
    <col collapsed="false" customWidth="true" hidden="false" outlineLevel="0" max="3" min="3" style="0" width="12"/>
    <col collapsed="false" customWidth="true" hidden="false" outlineLevel="0" max="4" min="4" style="0" width="70"/>
    <col collapsed="false" customWidth="true" hidden="false" outlineLevel="0" max="5" min="5" style="0" width="34"/>
    <col collapsed="false" customWidth="true" hidden="false" outlineLevel="0" max="6" min="6" style="0" width="40"/>
  </cols>
  <sheetData>
    <row r="1" customFormat="false" ht="15" hidden="false" customHeight="false" outlineLevel="0" collapsed="false">
      <c r="A1" s="4" t="s">
        <v>40</v>
      </c>
      <c r="B1" s="4" t="s">
        <v>41</v>
      </c>
      <c r="C1" s="4" t="s">
        <v>42</v>
      </c>
      <c r="D1" s="4" t="s">
        <v>43</v>
      </c>
      <c r="E1" s="4" t="s">
        <v>44</v>
      </c>
      <c r="F1" s="4" t="s">
        <v>31</v>
      </c>
    </row>
    <row r="2" customFormat="false" ht="15" hidden="false" customHeight="false" outlineLevel="0" collapsed="false">
      <c r="A2" s="6" t="s">
        <v>45</v>
      </c>
      <c r="B2" s="6" t="s">
        <v>46</v>
      </c>
      <c r="C2" s="6" t="s">
        <v>47</v>
      </c>
      <c r="D2" s="6" t="s">
        <v>48</v>
      </c>
      <c r="E2" s="6" t="s">
        <v>49</v>
      </c>
      <c r="F2" s="6"/>
    </row>
    <row r="3" customFormat="false" ht="26.85" hidden="false" customHeight="false" outlineLevel="0" collapsed="false">
      <c r="A3" s="6" t="s">
        <v>33</v>
      </c>
      <c r="B3" s="6" t="s">
        <v>50</v>
      </c>
      <c r="C3" s="6" t="s">
        <v>47</v>
      </c>
      <c r="D3" s="6" t="s">
        <v>34</v>
      </c>
      <c r="E3" s="6" t="s">
        <v>51</v>
      </c>
      <c r="F3" s="6" t="s">
        <v>52</v>
      </c>
    </row>
    <row r="4" customFormat="false" ht="26.85" hidden="false" customHeight="false" outlineLevel="0" collapsed="false">
      <c r="A4" s="6" t="s">
        <v>53</v>
      </c>
      <c r="B4" s="6" t="s">
        <v>54</v>
      </c>
      <c r="C4" s="6" t="s">
        <v>47</v>
      </c>
      <c r="D4" s="6" t="s">
        <v>55</v>
      </c>
      <c r="E4" s="6" t="s">
        <v>56</v>
      </c>
      <c r="F4" s="6"/>
    </row>
    <row r="5" customFormat="false" ht="26.85" hidden="false" customHeight="false" outlineLevel="0" collapsed="false">
      <c r="A5" s="6" t="s">
        <v>57</v>
      </c>
      <c r="B5" s="6" t="s">
        <v>54</v>
      </c>
      <c r="C5" s="6" t="s">
        <v>47</v>
      </c>
      <c r="D5" s="6" t="s">
        <v>58</v>
      </c>
      <c r="E5" s="6" t="s">
        <v>59</v>
      </c>
      <c r="F5" s="6" t="s">
        <v>60</v>
      </c>
    </row>
    <row r="6" customFormat="false" ht="26.85" hidden="false" customHeight="false" outlineLevel="0" collapsed="false">
      <c r="A6" s="6" t="s">
        <v>61</v>
      </c>
      <c r="B6" s="6" t="s">
        <v>46</v>
      </c>
      <c r="C6" s="6" t="s">
        <v>47</v>
      </c>
      <c r="D6" s="6" t="s">
        <v>62</v>
      </c>
      <c r="E6" s="6" t="s">
        <v>63</v>
      </c>
      <c r="F6" s="6" t="s">
        <v>64</v>
      </c>
    </row>
    <row r="7" customFormat="false" ht="26.85" hidden="false" customHeight="false" outlineLevel="0" collapsed="false">
      <c r="A7" s="6" t="s">
        <v>65</v>
      </c>
      <c r="B7" s="6" t="s">
        <v>66</v>
      </c>
      <c r="C7" s="6" t="s">
        <v>47</v>
      </c>
      <c r="D7" s="6" t="s">
        <v>67</v>
      </c>
      <c r="E7" s="6" t="s">
        <v>68</v>
      </c>
      <c r="F7" s="6"/>
    </row>
    <row r="8" customFormat="false" ht="26.85" hidden="false" customHeight="false" outlineLevel="0" collapsed="false">
      <c r="A8" s="6" t="s">
        <v>69</v>
      </c>
      <c r="B8" s="6" t="s">
        <v>70</v>
      </c>
      <c r="C8" s="6" t="s">
        <v>47</v>
      </c>
      <c r="D8" s="6" t="s">
        <v>71</v>
      </c>
      <c r="E8" s="6" t="s">
        <v>72</v>
      </c>
      <c r="F8" s="6" t="s">
        <v>73</v>
      </c>
    </row>
    <row r="9" customFormat="false" ht="26.85" hidden="false" customHeight="false" outlineLevel="0" collapsed="false">
      <c r="A9" s="6" t="s">
        <v>74</v>
      </c>
      <c r="B9" s="6" t="s">
        <v>50</v>
      </c>
      <c r="C9" s="6" t="s">
        <v>47</v>
      </c>
      <c r="D9" s="6" t="s">
        <v>75</v>
      </c>
      <c r="E9" s="6" t="s">
        <v>76</v>
      </c>
      <c r="F9" s="6"/>
    </row>
    <row r="10" customFormat="false" ht="26.85" hidden="false" customHeight="false" outlineLevel="0" collapsed="false">
      <c r="A10" s="6" t="s">
        <v>77</v>
      </c>
      <c r="B10" s="6" t="s">
        <v>78</v>
      </c>
      <c r="C10" s="6" t="s">
        <v>47</v>
      </c>
      <c r="D10" s="6" t="s">
        <v>79</v>
      </c>
      <c r="E10" s="6" t="s">
        <v>80</v>
      </c>
      <c r="F10" s="6"/>
    </row>
    <row r="11" customFormat="false" ht="15" hidden="false" customHeight="false" outlineLevel="0" collapsed="false">
      <c r="A11" s="6" t="s">
        <v>81</v>
      </c>
      <c r="B11" s="6" t="s">
        <v>82</v>
      </c>
      <c r="C11" s="6" t="s">
        <v>47</v>
      </c>
      <c r="D11" s="6" t="s">
        <v>83</v>
      </c>
      <c r="E11" s="6" t="s">
        <v>84</v>
      </c>
      <c r="F11" s="6" t="s">
        <v>85</v>
      </c>
    </row>
    <row r="12" customFormat="false" ht="15" hidden="false" customHeight="false" outlineLevel="0" collapsed="false">
      <c r="A12" s="6" t="s">
        <v>86</v>
      </c>
      <c r="B12" s="6" t="s">
        <v>54</v>
      </c>
      <c r="C12" s="6" t="s">
        <v>47</v>
      </c>
      <c r="D12" s="6" t="s">
        <v>87</v>
      </c>
      <c r="E12" s="6" t="s">
        <v>88</v>
      </c>
      <c r="F12" s="6"/>
    </row>
    <row r="13" customFormat="false" ht="15" hidden="false" customHeight="false" outlineLevel="0" collapsed="false">
      <c r="A13" s="6" t="s">
        <v>89</v>
      </c>
      <c r="B13" s="6" t="s">
        <v>90</v>
      </c>
      <c r="C13" s="6" t="s">
        <v>47</v>
      </c>
      <c r="D13" s="6" t="s">
        <v>91</v>
      </c>
      <c r="E13" s="6" t="s">
        <v>92</v>
      </c>
      <c r="F13" s="6"/>
    </row>
    <row r="14" customFormat="false" ht="15" hidden="false" customHeight="false" outlineLevel="0" collapsed="false">
      <c r="A14" s="6" t="s">
        <v>93</v>
      </c>
      <c r="B14" s="6" t="s">
        <v>94</v>
      </c>
      <c r="C14" s="6" t="s">
        <v>95</v>
      </c>
      <c r="D14" s="6" t="s">
        <v>96</v>
      </c>
      <c r="E14" s="6" t="s">
        <v>97</v>
      </c>
      <c r="F14" s="6" t="s">
        <v>98</v>
      </c>
    </row>
    <row r="15" customFormat="false" ht="15" hidden="false" customHeight="false" outlineLevel="0" collapsed="false">
      <c r="A15" s="6" t="s">
        <v>99</v>
      </c>
      <c r="B15" s="6" t="s">
        <v>94</v>
      </c>
      <c r="C15" s="6" t="s">
        <v>95</v>
      </c>
      <c r="D15" s="6" t="s">
        <v>100</v>
      </c>
      <c r="E15" s="6" t="s">
        <v>68</v>
      </c>
      <c r="F15" s="6"/>
    </row>
    <row r="16" customFormat="false" ht="26.85" hidden="false" customHeight="false" outlineLevel="0" collapsed="false">
      <c r="A16" s="6" t="s">
        <v>101</v>
      </c>
      <c r="B16" s="6" t="s">
        <v>54</v>
      </c>
      <c r="C16" s="6" t="s">
        <v>95</v>
      </c>
      <c r="D16" s="6" t="s">
        <v>102</v>
      </c>
      <c r="E16" s="6" t="s">
        <v>63</v>
      </c>
      <c r="F16" s="6"/>
    </row>
    <row r="17" customFormat="false" ht="26.85" hidden="false" customHeight="false" outlineLevel="0" collapsed="false">
      <c r="A17" s="6" t="s">
        <v>103</v>
      </c>
      <c r="B17" s="6" t="s">
        <v>50</v>
      </c>
      <c r="C17" s="6" t="s">
        <v>95</v>
      </c>
      <c r="D17" s="6" t="s">
        <v>104</v>
      </c>
      <c r="E17" s="6" t="s">
        <v>51</v>
      </c>
      <c r="F17" s="6"/>
    </row>
    <row r="18" customFormat="false" ht="15" hidden="false" customHeight="false" outlineLevel="0" collapsed="false">
      <c r="A18" s="6" t="s">
        <v>105</v>
      </c>
      <c r="B18" s="6" t="s">
        <v>90</v>
      </c>
      <c r="C18" s="6" t="s">
        <v>95</v>
      </c>
      <c r="D18" s="6" t="s">
        <v>106</v>
      </c>
      <c r="E18" s="6" t="s">
        <v>97</v>
      </c>
      <c r="F18" s="6"/>
    </row>
    <row r="19" customFormat="false" ht="26.85" hidden="false" customHeight="false" outlineLevel="0" collapsed="false">
      <c r="A19" s="7" t="s">
        <v>107</v>
      </c>
      <c r="B19" s="7" t="s">
        <v>108</v>
      </c>
      <c r="C19" s="7" t="s">
        <v>108</v>
      </c>
      <c r="D19" s="7" t="s">
        <v>109</v>
      </c>
      <c r="E19" s="7" t="s">
        <v>80</v>
      </c>
      <c r="F19" s="7" t="s">
        <v>110</v>
      </c>
    </row>
    <row r="20" customFormat="false" ht="15" hidden="false" customHeight="false" outlineLevel="0" collapsed="false">
      <c r="A20" s="7" t="s">
        <v>111</v>
      </c>
      <c r="B20" s="7" t="s">
        <v>108</v>
      </c>
      <c r="C20" s="7" t="s">
        <v>108</v>
      </c>
      <c r="D20" s="7" t="s">
        <v>112</v>
      </c>
      <c r="E20" s="7" t="s">
        <v>49</v>
      </c>
      <c r="F20" s="7" t="s">
        <v>113</v>
      </c>
    </row>
    <row r="21" customFormat="false" ht="15" hidden="false" customHeight="false" outlineLevel="0" collapsed="false">
      <c r="A21" s="7" t="s">
        <v>114</v>
      </c>
      <c r="B21" s="7" t="s">
        <v>108</v>
      </c>
      <c r="C21" s="7" t="s">
        <v>108</v>
      </c>
      <c r="D21" s="7" t="s">
        <v>115</v>
      </c>
      <c r="E21" s="7" t="s">
        <v>116</v>
      </c>
      <c r="F21" s="7" t="s">
        <v>117</v>
      </c>
    </row>
    <row r="23" customFormat="false" ht="15" hidden="false" customHeight="false" outlineLevel="0" collapsed="false">
      <c r="A23" s="8" t="s">
        <v>118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6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1"/>
    <col collapsed="false" customWidth="true" hidden="false" outlineLevel="0" max="3" min="3" style="0" width="46"/>
    <col collapsed="false" customWidth="true" hidden="false" outlineLevel="0" max="4" min="4" style="0" width="16"/>
    <col collapsed="false" customWidth="true" hidden="false" outlineLevel="0" max="5" min="5" style="0" width="8"/>
    <col collapsed="false" customWidth="true" hidden="false" outlineLevel="0" max="7" min="6" style="0" width="11"/>
    <col collapsed="false" customWidth="true" hidden="false" outlineLevel="0" max="8" min="8" style="0" width="9"/>
    <col collapsed="false" customWidth="true" hidden="false" outlineLevel="0" max="9" min="9" style="0" width="28"/>
    <col collapsed="false" customWidth="true" hidden="false" outlineLevel="0" max="10" min="10" style="0" width="26"/>
    <col collapsed="false" customWidth="true" hidden="false" outlineLevel="0" max="11" min="11" style="0" width="28"/>
    <col collapsed="false" customWidth="true" hidden="false" outlineLevel="0" max="12" min="12" style="0" width="24"/>
    <col collapsed="false" customWidth="true" hidden="false" outlineLevel="0" max="13" min="13" style="0" width="26"/>
  </cols>
  <sheetData>
    <row r="1" customFormat="false" ht="26.85" hidden="false" customHeight="false" outlineLevel="0" collapsed="false">
      <c r="A1" s="4" t="s">
        <v>19</v>
      </c>
      <c r="B1" s="4" t="s">
        <v>20</v>
      </c>
      <c r="C1" s="4" t="s">
        <v>21</v>
      </c>
      <c r="D1" s="4" t="s">
        <v>22</v>
      </c>
      <c r="E1" s="4" t="s">
        <v>23</v>
      </c>
      <c r="F1" s="4" t="s">
        <v>24</v>
      </c>
      <c r="G1" s="4" t="s">
        <v>25</v>
      </c>
      <c r="H1" s="4" t="s">
        <v>26</v>
      </c>
      <c r="I1" s="4" t="s">
        <v>27</v>
      </c>
      <c r="J1" s="4" t="s">
        <v>28</v>
      </c>
      <c r="K1" s="4" t="s">
        <v>29</v>
      </c>
      <c r="L1" s="4" t="s">
        <v>30</v>
      </c>
      <c r="M1" s="4" t="s">
        <v>31</v>
      </c>
    </row>
    <row r="2" customFormat="false" ht="15" hidden="false" customHeight="false" outlineLevel="0" collapsed="false">
      <c r="A2" s="9"/>
      <c r="B2" s="10"/>
      <c r="C2" s="11" t="str">
        <f aca="false">IF(B2="","",IFERROR(INDEX('Câu hỏi'!$D$2:$D$21,MATCH(B2,'Câu hỏi'!$A$2:$A$21,0)),"Mã không có"))</f>
        <v/>
      </c>
      <c r="D2" s="10"/>
      <c r="E2" s="10"/>
      <c r="F2" s="10"/>
      <c r="G2" s="10"/>
      <c r="H2" s="10"/>
      <c r="I2" s="10"/>
      <c r="J2" s="10"/>
      <c r="K2" s="10"/>
      <c r="L2" s="10"/>
      <c r="M2" s="10"/>
    </row>
    <row r="3" customFormat="false" ht="15" hidden="false" customHeight="false" outlineLevel="0" collapsed="false">
      <c r="A3" s="9"/>
      <c r="B3" s="10"/>
      <c r="C3" s="11" t="str">
        <f aca="false">IF(B3="","",IFERROR(INDEX('Câu hỏi'!$D$2:$D$21,MATCH(B3,'Câu hỏi'!$A$2:$A$21,0)),"Mã không có"))</f>
        <v/>
      </c>
      <c r="D3" s="10"/>
      <c r="E3" s="10"/>
      <c r="F3" s="10"/>
      <c r="G3" s="10"/>
      <c r="H3" s="10"/>
      <c r="I3" s="10"/>
      <c r="J3" s="10"/>
      <c r="K3" s="10"/>
      <c r="L3" s="10"/>
      <c r="M3" s="10"/>
    </row>
    <row r="4" customFormat="false" ht="15" hidden="false" customHeight="false" outlineLevel="0" collapsed="false">
      <c r="A4" s="9"/>
      <c r="B4" s="10"/>
      <c r="C4" s="11" t="str">
        <f aca="false">IF(B4="","",IFERROR(INDEX('Câu hỏi'!$D$2:$D$21,MATCH(B4,'Câu hỏi'!$A$2:$A$21,0)),"Mã không có"))</f>
        <v/>
      </c>
      <c r="D4" s="10"/>
      <c r="E4" s="10"/>
      <c r="F4" s="10"/>
      <c r="G4" s="10"/>
      <c r="H4" s="10"/>
      <c r="I4" s="10"/>
      <c r="J4" s="10"/>
      <c r="K4" s="10"/>
      <c r="L4" s="10"/>
      <c r="M4" s="10"/>
    </row>
    <row r="5" customFormat="false" ht="15" hidden="false" customHeight="false" outlineLevel="0" collapsed="false">
      <c r="A5" s="9"/>
      <c r="B5" s="10"/>
      <c r="C5" s="11" t="str">
        <f aca="false">IF(B5="","",IFERROR(INDEX('Câu hỏi'!$D$2:$D$21,MATCH(B5,'Câu hỏi'!$A$2:$A$21,0)),"Mã không có"))</f>
        <v/>
      </c>
      <c r="D5" s="10"/>
      <c r="E5" s="10"/>
      <c r="F5" s="10"/>
      <c r="G5" s="10"/>
      <c r="H5" s="10"/>
      <c r="I5" s="10"/>
      <c r="J5" s="10"/>
      <c r="K5" s="10"/>
      <c r="L5" s="10"/>
      <c r="M5" s="10"/>
    </row>
    <row r="6" customFormat="false" ht="15" hidden="false" customHeight="false" outlineLevel="0" collapsed="false">
      <c r="A6" s="9"/>
      <c r="B6" s="10"/>
      <c r="C6" s="11" t="str">
        <f aca="false">IF(B6="","",IFERROR(INDEX('Câu hỏi'!$D$2:$D$21,MATCH(B6,'Câu hỏi'!$A$2:$A$21,0)),"Mã không có"))</f>
        <v/>
      </c>
      <c r="D6" s="10"/>
      <c r="E6" s="10"/>
      <c r="F6" s="10"/>
      <c r="G6" s="10"/>
      <c r="H6" s="10"/>
      <c r="I6" s="10"/>
      <c r="J6" s="10"/>
      <c r="K6" s="10"/>
      <c r="L6" s="10"/>
      <c r="M6" s="10"/>
    </row>
    <row r="7" customFormat="false" ht="15" hidden="false" customHeight="false" outlineLevel="0" collapsed="false">
      <c r="A7" s="9"/>
      <c r="B7" s="10"/>
      <c r="C7" s="11" t="str">
        <f aca="false">IF(B7="","",IFERROR(INDEX('Câu hỏi'!$D$2:$D$21,MATCH(B7,'Câu hỏi'!$A$2:$A$21,0)),"Mã không có"))</f>
        <v/>
      </c>
      <c r="D7" s="10"/>
      <c r="E7" s="10"/>
      <c r="F7" s="10"/>
      <c r="G7" s="10"/>
      <c r="H7" s="10"/>
      <c r="I7" s="10"/>
      <c r="J7" s="10"/>
      <c r="K7" s="10"/>
      <c r="L7" s="10"/>
      <c r="M7" s="10"/>
    </row>
    <row r="8" customFormat="false" ht="15" hidden="false" customHeight="false" outlineLevel="0" collapsed="false">
      <c r="A8" s="9"/>
      <c r="B8" s="10"/>
      <c r="C8" s="11" t="str">
        <f aca="false">IF(B8="","",IFERROR(INDEX('Câu hỏi'!$D$2:$D$21,MATCH(B8,'Câu hỏi'!$A$2:$A$21,0)),"Mã không có"))</f>
        <v/>
      </c>
      <c r="D8" s="10"/>
      <c r="E8" s="10"/>
      <c r="F8" s="10"/>
      <c r="G8" s="10"/>
      <c r="H8" s="10"/>
      <c r="I8" s="10"/>
      <c r="J8" s="10"/>
      <c r="K8" s="10"/>
      <c r="L8" s="10"/>
      <c r="M8" s="10"/>
    </row>
    <row r="9" customFormat="false" ht="15" hidden="false" customHeight="false" outlineLevel="0" collapsed="false">
      <c r="A9" s="9"/>
      <c r="B9" s="10"/>
      <c r="C9" s="11" t="str">
        <f aca="false">IF(B9="","",IFERROR(INDEX('Câu hỏi'!$D$2:$D$21,MATCH(B9,'Câu hỏi'!$A$2:$A$21,0)),"Mã không có"))</f>
        <v/>
      </c>
      <c r="D9" s="10"/>
      <c r="E9" s="10"/>
      <c r="F9" s="10"/>
      <c r="G9" s="10"/>
      <c r="H9" s="10"/>
      <c r="I9" s="10"/>
      <c r="J9" s="10"/>
      <c r="K9" s="10"/>
      <c r="L9" s="10"/>
      <c r="M9" s="10"/>
    </row>
    <row r="10" customFormat="false" ht="15" hidden="false" customHeight="false" outlineLevel="0" collapsed="false">
      <c r="A10" s="9"/>
      <c r="B10" s="10"/>
      <c r="C10" s="11" t="str">
        <f aca="false">IF(B10="","",IFERROR(INDEX('Câu hỏi'!$D$2:$D$21,MATCH(B10,'Câu hỏi'!$A$2:$A$21,0)),"Mã không có"))</f>
        <v/>
      </c>
      <c r="D10" s="10"/>
      <c r="E10" s="10"/>
      <c r="F10" s="10"/>
      <c r="G10" s="10"/>
      <c r="H10" s="10"/>
      <c r="I10" s="10"/>
      <c r="J10" s="10"/>
      <c r="K10" s="10"/>
      <c r="L10" s="10"/>
      <c r="M10" s="10"/>
    </row>
    <row r="11" customFormat="false" ht="15" hidden="false" customHeight="false" outlineLevel="0" collapsed="false">
      <c r="A11" s="9"/>
      <c r="B11" s="10"/>
      <c r="C11" s="11" t="str">
        <f aca="false">IF(B11="","",IFERROR(INDEX('Câu hỏi'!$D$2:$D$21,MATCH(B11,'Câu hỏi'!$A$2:$A$21,0)),"Mã không có"))</f>
        <v/>
      </c>
      <c r="D11" s="10"/>
      <c r="E11" s="10"/>
      <c r="F11" s="10"/>
      <c r="G11" s="10"/>
      <c r="H11" s="10"/>
      <c r="I11" s="10"/>
      <c r="J11" s="10"/>
      <c r="K11" s="10"/>
      <c r="L11" s="10"/>
      <c r="M11" s="10"/>
    </row>
    <row r="12" customFormat="false" ht="15" hidden="false" customHeight="false" outlineLevel="0" collapsed="false">
      <c r="A12" s="9"/>
      <c r="B12" s="10"/>
      <c r="C12" s="11" t="str">
        <f aca="false">IF(B12="","",IFERROR(INDEX('Câu hỏi'!$D$2:$D$21,MATCH(B12,'Câu hỏi'!$A$2:$A$21,0)),"Mã không có"))</f>
        <v/>
      </c>
      <c r="D12" s="10"/>
      <c r="E12" s="10"/>
      <c r="F12" s="10"/>
      <c r="G12" s="10"/>
      <c r="H12" s="10"/>
      <c r="I12" s="10"/>
      <c r="J12" s="10"/>
      <c r="K12" s="10"/>
      <c r="L12" s="10"/>
      <c r="M12" s="10"/>
    </row>
    <row r="13" customFormat="false" ht="15" hidden="false" customHeight="false" outlineLevel="0" collapsed="false">
      <c r="A13" s="9"/>
      <c r="B13" s="10"/>
      <c r="C13" s="11" t="str">
        <f aca="false">IF(B13="","",IFERROR(INDEX('Câu hỏi'!$D$2:$D$21,MATCH(B13,'Câu hỏi'!$A$2:$A$21,0)),"Mã không có"))</f>
        <v/>
      </c>
      <c r="D13" s="10"/>
      <c r="E13" s="10"/>
      <c r="F13" s="10"/>
      <c r="G13" s="10"/>
      <c r="H13" s="10"/>
      <c r="I13" s="10"/>
      <c r="J13" s="10"/>
      <c r="K13" s="10"/>
      <c r="L13" s="10"/>
      <c r="M13" s="10"/>
    </row>
    <row r="14" customFormat="false" ht="15" hidden="false" customHeight="false" outlineLevel="0" collapsed="false">
      <c r="A14" s="9"/>
      <c r="B14" s="10"/>
      <c r="C14" s="11" t="str">
        <f aca="false">IF(B14="","",IFERROR(INDEX('Câu hỏi'!$D$2:$D$21,MATCH(B14,'Câu hỏi'!$A$2:$A$21,0)),"Mã không có"))</f>
        <v/>
      </c>
      <c r="D14" s="10"/>
      <c r="E14" s="10"/>
      <c r="F14" s="10"/>
      <c r="G14" s="10"/>
      <c r="H14" s="10"/>
      <c r="I14" s="10"/>
      <c r="J14" s="10"/>
      <c r="K14" s="10"/>
      <c r="L14" s="10"/>
      <c r="M14" s="10"/>
    </row>
    <row r="15" customFormat="false" ht="15" hidden="false" customHeight="false" outlineLevel="0" collapsed="false">
      <c r="A15" s="9"/>
      <c r="B15" s="10"/>
      <c r="C15" s="11" t="str">
        <f aca="false">IF(B15="","",IFERROR(INDEX('Câu hỏi'!$D$2:$D$21,MATCH(B15,'Câu hỏi'!$A$2:$A$21,0)),"Mã không có"))</f>
        <v/>
      </c>
      <c r="D15" s="10"/>
      <c r="E15" s="10"/>
      <c r="F15" s="10"/>
      <c r="G15" s="10"/>
      <c r="H15" s="10"/>
      <c r="I15" s="10"/>
      <c r="J15" s="10"/>
      <c r="K15" s="10"/>
      <c r="L15" s="10"/>
      <c r="M15" s="10"/>
    </row>
    <row r="16" customFormat="false" ht="15" hidden="false" customHeight="false" outlineLevel="0" collapsed="false">
      <c r="A16" s="9"/>
      <c r="B16" s="10"/>
      <c r="C16" s="11" t="str">
        <f aca="false">IF(B16="","",IFERROR(INDEX('Câu hỏi'!$D$2:$D$21,MATCH(B16,'Câu hỏi'!$A$2:$A$21,0)),"Mã không có"))</f>
        <v/>
      </c>
      <c r="D16" s="10"/>
      <c r="E16" s="10"/>
      <c r="F16" s="10"/>
      <c r="G16" s="10"/>
      <c r="H16" s="10"/>
      <c r="I16" s="10"/>
      <c r="J16" s="10"/>
      <c r="K16" s="10"/>
      <c r="L16" s="10"/>
      <c r="M16" s="10"/>
    </row>
    <row r="17" customFormat="false" ht="15" hidden="false" customHeight="false" outlineLevel="0" collapsed="false">
      <c r="A17" s="9"/>
      <c r="B17" s="10"/>
      <c r="C17" s="11" t="str">
        <f aca="false">IF(B17="","",IFERROR(INDEX('Câu hỏi'!$D$2:$D$21,MATCH(B17,'Câu hỏi'!$A$2:$A$21,0)),"Mã không có"))</f>
        <v/>
      </c>
      <c r="D17" s="10"/>
      <c r="E17" s="10"/>
      <c r="F17" s="10"/>
      <c r="G17" s="10"/>
      <c r="H17" s="10"/>
      <c r="I17" s="10"/>
      <c r="J17" s="10"/>
      <c r="K17" s="10"/>
      <c r="L17" s="10"/>
      <c r="M17" s="10"/>
    </row>
    <row r="18" customFormat="false" ht="15" hidden="false" customHeight="false" outlineLevel="0" collapsed="false">
      <c r="A18" s="9"/>
      <c r="B18" s="10"/>
      <c r="C18" s="11" t="str">
        <f aca="false">IF(B18="","",IFERROR(INDEX('Câu hỏi'!$D$2:$D$21,MATCH(B18,'Câu hỏi'!$A$2:$A$21,0)),"Mã không có"))</f>
        <v/>
      </c>
      <c r="D18" s="10"/>
      <c r="E18" s="10"/>
      <c r="F18" s="10"/>
      <c r="G18" s="10"/>
      <c r="H18" s="10"/>
      <c r="I18" s="10"/>
      <c r="J18" s="10"/>
      <c r="K18" s="10"/>
      <c r="L18" s="10"/>
      <c r="M18" s="10"/>
    </row>
    <row r="19" customFormat="false" ht="15" hidden="false" customHeight="false" outlineLevel="0" collapsed="false">
      <c r="A19" s="9"/>
      <c r="B19" s="10"/>
      <c r="C19" s="11" t="str">
        <f aca="false">IF(B19="","",IFERROR(INDEX('Câu hỏi'!$D$2:$D$21,MATCH(B19,'Câu hỏi'!$A$2:$A$21,0)),"Mã không có"))</f>
        <v/>
      </c>
      <c r="D19" s="10"/>
      <c r="E19" s="10"/>
      <c r="F19" s="10"/>
      <c r="G19" s="10"/>
      <c r="H19" s="10"/>
      <c r="I19" s="10"/>
      <c r="J19" s="10"/>
      <c r="K19" s="10"/>
      <c r="L19" s="10"/>
      <c r="M19" s="10"/>
    </row>
    <row r="20" customFormat="false" ht="15" hidden="false" customHeight="false" outlineLevel="0" collapsed="false">
      <c r="A20" s="9"/>
      <c r="B20" s="10"/>
      <c r="C20" s="11" t="str">
        <f aca="false">IF(B20="","",IFERROR(INDEX('Câu hỏi'!$D$2:$D$21,MATCH(B20,'Câu hỏi'!$A$2:$A$21,0)),"Mã không có"))</f>
        <v/>
      </c>
      <c r="D20" s="10"/>
      <c r="E20" s="10"/>
      <c r="F20" s="10"/>
      <c r="G20" s="10"/>
      <c r="H20" s="10"/>
      <c r="I20" s="10"/>
      <c r="J20" s="10"/>
      <c r="K20" s="10"/>
      <c r="L20" s="10"/>
      <c r="M20" s="10"/>
    </row>
    <row r="21" customFormat="false" ht="15" hidden="false" customHeight="false" outlineLevel="0" collapsed="false">
      <c r="A21" s="9"/>
      <c r="B21" s="10"/>
      <c r="C21" s="11" t="str">
        <f aca="false">IF(B21="","",IFERROR(INDEX('Câu hỏi'!$D$2:$D$21,MATCH(B21,'Câu hỏi'!$A$2:$A$21,0)),"Mã không có"))</f>
        <v/>
      </c>
      <c r="D21" s="10"/>
      <c r="E21" s="10"/>
      <c r="F21" s="10"/>
      <c r="G21" s="10"/>
      <c r="H21" s="10"/>
      <c r="I21" s="10"/>
      <c r="J21" s="10"/>
      <c r="K21" s="10"/>
      <c r="L21" s="10"/>
      <c r="M21" s="10"/>
    </row>
    <row r="22" customFormat="false" ht="15" hidden="false" customHeight="false" outlineLevel="0" collapsed="false">
      <c r="A22" s="9"/>
      <c r="B22" s="10"/>
      <c r="C22" s="11" t="str">
        <f aca="false">IF(B22="","",IFERROR(INDEX('Câu hỏi'!$D$2:$D$21,MATCH(B22,'Câu hỏi'!$A$2:$A$21,0)),"Mã không có"))</f>
        <v/>
      </c>
      <c r="D22" s="10"/>
      <c r="E22" s="10"/>
      <c r="F22" s="10"/>
      <c r="G22" s="10"/>
      <c r="H22" s="10"/>
      <c r="I22" s="10"/>
      <c r="J22" s="10"/>
      <c r="K22" s="10"/>
      <c r="L22" s="10"/>
      <c r="M22" s="10"/>
    </row>
    <row r="23" customFormat="false" ht="15" hidden="false" customHeight="false" outlineLevel="0" collapsed="false">
      <c r="A23" s="9"/>
      <c r="B23" s="10"/>
      <c r="C23" s="11" t="str">
        <f aca="false">IF(B23="","",IFERROR(INDEX('Câu hỏi'!$D$2:$D$21,MATCH(B23,'Câu hỏi'!$A$2:$A$21,0)),"Mã không có"))</f>
        <v/>
      </c>
      <c r="D23" s="10"/>
      <c r="E23" s="10"/>
      <c r="F23" s="10"/>
      <c r="G23" s="10"/>
      <c r="H23" s="10"/>
      <c r="I23" s="10"/>
      <c r="J23" s="10"/>
      <c r="K23" s="10"/>
      <c r="L23" s="10"/>
      <c r="M23" s="10"/>
    </row>
    <row r="24" customFormat="false" ht="15" hidden="false" customHeight="false" outlineLevel="0" collapsed="false">
      <c r="A24" s="9"/>
      <c r="B24" s="10"/>
      <c r="C24" s="11" t="str">
        <f aca="false">IF(B24="","",IFERROR(INDEX('Câu hỏi'!$D$2:$D$21,MATCH(B24,'Câu hỏi'!$A$2:$A$21,0)),"Mã không có"))</f>
        <v/>
      </c>
      <c r="D24" s="10"/>
      <c r="E24" s="10"/>
      <c r="F24" s="10"/>
      <c r="G24" s="10"/>
      <c r="H24" s="10"/>
      <c r="I24" s="10"/>
      <c r="J24" s="10"/>
      <c r="K24" s="10"/>
      <c r="L24" s="10"/>
      <c r="M24" s="10"/>
    </row>
    <row r="25" customFormat="false" ht="15" hidden="false" customHeight="false" outlineLevel="0" collapsed="false">
      <c r="A25" s="9"/>
      <c r="B25" s="10"/>
      <c r="C25" s="11" t="str">
        <f aca="false">IF(B25="","",IFERROR(INDEX('Câu hỏi'!$D$2:$D$21,MATCH(B25,'Câu hỏi'!$A$2:$A$21,0)),"Mã không có"))</f>
        <v/>
      </c>
      <c r="D25" s="10"/>
      <c r="E25" s="10"/>
      <c r="F25" s="10"/>
      <c r="G25" s="10"/>
      <c r="H25" s="10"/>
      <c r="I25" s="10"/>
      <c r="J25" s="10"/>
      <c r="K25" s="10"/>
      <c r="L25" s="10"/>
      <c r="M25" s="10"/>
    </row>
    <row r="26" customFormat="false" ht="15" hidden="false" customHeight="false" outlineLevel="0" collapsed="false">
      <c r="A26" s="9"/>
      <c r="B26" s="10"/>
      <c r="C26" s="11" t="str">
        <f aca="false">IF(B26="","",IFERROR(INDEX('Câu hỏi'!$D$2:$D$21,MATCH(B26,'Câu hỏi'!$A$2:$A$21,0)),"Mã không có"))</f>
        <v/>
      </c>
      <c r="D26" s="10"/>
      <c r="E26" s="10"/>
      <c r="F26" s="10"/>
      <c r="G26" s="10"/>
      <c r="H26" s="10"/>
      <c r="I26" s="10"/>
      <c r="J26" s="10"/>
      <c r="K26" s="10"/>
      <c r="L26" s="10"/>
      <c r="M26" s="10"/>
    </row>
    <row r="27" customFormat="false" ht="15" hidden="false" customHeight="false" outlineLevel="0" collapsed="false">
      <c r="A27" s="9"/>
      <c r="B27" s="10"/>
      <c r="C27" s="11" t="str">
        <f aca="false">IF(B27="","",IFERROR(INDEX('Câu hỏi'!$D$2:$D$21,MATCH(B27,'Câu hỏi'!$A$2:$A$21,0)),"Mã không có"))</f>
        <v/>
      </c>
      <c r="D27" s="10"/>
      <c r="E27" s="10"/>
      <c r="F27" s="10"/>
      <c r="G27" s="10"/>
      <c r="H27" s="10"/>
      <c r="I27" s="10"/>
      <c r="J27" s="10"/>
      <c r="K27" s="10"/>
      <c r="L27" s="10"/>
      <c r="M27" s="10"/>
    </row>
    <row r="28" customFormat="false" ht="15" hidden="false" customHeight="false" outlineLevel="0" collapsed="false">
      <c r="A28" s="9"/>
      <c r="B28" s="10"/>
      <c r="C28" s="11" t="str">
        <f aca="false">IF(B28="","",IFERROR(INDEX('Câu hỏi'!$D$2:$D$21,MATCH(B28,'Câu hỏi'!$A$2:$A$21,0)),"Mã không có"))</f>
        <v/>
      </c>
      <c r="D28" s="10"/>
      <c r="E28" s="10"/>
      <c r="F28" s="10"/>
      <c r="G28" s="10"/>
      <c r="H28" s="10"/>
      <c r="I28" s="10"/>
      <c r="J28" s="10"/>
      <c r="K28" s="10"/>
      <c r="L28" s="10"/>
      <c r="M28" s="10"/>
    </row>
    <row r="29" customFormat="false" ht="15" hidden="false" customHeight="false" outlineLevel="0" collapsed="false">
      <c r="A29" s="9"/>
      <c r="B29" s="10"/>
      <c r="C29" s="11" t="str">
        <f aca="false">IF(B29="","",IFERROR(INDEX('Câu hỏi'!$D$2:$D$21,MATCH(B29,'Câu hỏi'!$A$2:$A$21,0)),"Mã không có"))</f>
        <v/>
      </c>
      <c r="D29" s="10"/>
      <c r="E29" s="10"/>
      <c r="F29" s="10"/>
      <c r="G29" s="10"/>
      <c r="H29" s="10"/>
      <c r="I29" s="10"/>
      <c r="J29" s="10"/>
      <c r="K29" s="10"/>
      <c r="L29" s="10"/>
      <c r="M29" s="10"/>
    </row>
    <row r="30" customFormat="false" ht="15" hidden="false" customHeight="false" outlineLevel="0" collapsed="false">
      <c r="A30" s="9"/>
      <c r="B30" s="10"/>
      <c r="C30" s="11" t="str">
        <f aca="false">IF(B30="","",IFERROR(INDEX('Câu hỏi'!$D$2:$D$21,MATCH(B30,'Câu hỏi'!$A$2:$A$21,0)),"Mã không có"))</f>
        <v/>
      </c>
      <c r="D30" s="10"/>
      <c r="E30" s="10"/>
      <c r="F30" s="10"/>
      <c r="G30" s="10"/>
      <c r="H30" s="10"/>
      <c r="I30" s="10"/>
      <c r="J30" s="10"/>
      <c r="K30" s="10"/>
      <c r="L30" s="10"/>
      <c r="M30" s="10"/>
    </row>
    <row r="31" customFormat="false" ht="15" hidden="false" customHeight="false" outlineLevel="0" collapsed="false">
      <c r="A31" s="9"/>
      <c r="B31" s="10"/>
      <c r="C31" s="11" t="str">
        <f aca="false">IF(B31="","",IFERROR(INDEX('Câu hỏi'!$D$2:$D$21,MATCH(B31,'Câu hỏi'!$A$2:$A$21,0)),"Mã không có"))</f>
        <v/>
      </c>
      <c r="D31" s="10"/>
      <c r="E31" s="10"/>
      <c r="F31" s="10"/>
      <c r="G31" s="10"/>
      <c r="H31" s="10"/>
      <c r="I31" s="10"/>
      <c r="J31" s="10"/>
      <c r="K31" s="10"/>
      <c r="L31" s="10"/>
      <c r="M31" s="10"/>
    </row>
    <row r="32" customFormat="false" ht="15" hidden="false" customHeight="false" outlineLevel="0" collapsed="false">
      <c r="A32" s="9"/>
      <c r="B32" s="10"/>
      <c r="C32" s="11" t="str">
        <f aca="false">IF(B32="","",IFERROR(INDEX('Câu hỏi'!$D$2:$D$21,MATCH(B32,'Câu hỏi'!$A$2:$A$21,0)),"Mã không có"))</f>
        <v/>
      </c>
      <c r="D32" s="10"/>
      <c r="E32" s="10"/>
      <c r="F32" s="10"/>
      <c r="G32" s="10"/>
      <c r="H32" s="10"/>
      <c r="I32" s="10"/>
      <c r="J32" s="10"/>
      <c r="K32" s="10"/>
      <c r="L32" s="10"/>
      <c r="M32" s="10"/>
    </row>
    <row r="33" customFormat="false" ht="15" hidden="false" customHeight="false" outlineLevel="0" collapsed="false">
      <c r="A33" s="9"/>
      <c r="B33" s="10"/>
      <c r="C33" s="11" t="str">
        <f aca="false">IF(B33="","",IFERROR(INDEX('Câu hỏi'!$D$2:$D$21,MATCH(B33,'Câu hỏi'!$A$2:$A$21,0)),"Mã không có"))</f>
        <v/>
      </c>
      <c r="D33" s="10"/>
      <c r="E33" s="10"/>
      <c r="F33" s="10"/>
      <c r="G33" s="10"/>
      <c r="H33" s="10"/>
      <c r="I33" s="10"/>
      <c r="J33" s="10"/>
      <c r="K33" s="10"/>
      <c r="L33" s="10"/>
      <c r="M33" s="10"/>
    </row>
    <row r="34" customFormat="false" ht="15" hidden="false" customHeight="false" outlineLevel="0" collapsed="false">
      <c r="A34" s="9"/>
      <c r="B34" s="10"/>
      <c r="C34" s="11" t="str">
        <f aca="false">IF(B34="","",IFERROR(INDEX('Câu hỏi'!$D$2:$D$21,MATCH(B34,'Câu hỏi'!$A$2:$A$21,0)),"Mã không có"))</f>
        <v/>
      </c>
      <c r="D34" s="10"/>
      <c r="E34" s="10"/>
      <c r="F34" s="10"/>
      <c r="G34" s="10"/>
      <c r="H34" s="10"/>
      <c r="I34" s="10"/>
      <c r="J34" s="10"/>
      <c r="K34" s="10"/>
      <c r="L34" s="10"/>
      <c r="M34" s="10"/>
    </row>
    <row r="35" customFormat="false" ht="15" hidden="false" customHeight="false" outlineLevel="0" collapsed="false">
      <c r="A35" s="9"/>
      <c r="B35" s="10"/>
      <c r="C35" s="11" t="str">
        <f aca="false">IF(B35="","",IFERROR(INDEX('Câu hỏi'!$D$2:$D$21,MATCH(B35,'Câu hỏi'!$A$2:$A$21,0)),"Mã không có"))</f>
        <v/>
      </c>
      <c r="D35" s="10"/>
      <c r="E35" s="10"/>
      <c r="F35" s="10"/>
      <c r="G35" s="10"/>
      <c r="H35" s="10"/>
      <c r="I35" s="10"/>
      <c r="J35" s="10"/>
      <c r="K35" s="10"/>
      <c r="L35" s="10"/>
      <c r="M35" s="10"/>
    </row>
    <row r="36" customFormat="false" ht="15" hidden="false" customHeight="false" outlineLevel="0" collapsed="false">
      <c r="A36" s="9"/>
      <c r="B36" s="10"/>
      <c r="C36" s="11" t="str">
        <f aca="false">IF(B36="","",IFERROR(INDEX('Câu hỏi'!$D$2:$D$21,MATCH(B36,'Câu hỏi'!$A$2:$A$21,0)),"Mã không có"))</f>
        <v/>
      </c>
      <c r="D36" s="10"/>
      <c r="E36" s="10"/>
      <c r="F36" s="10"/>
      <c r="G36" s="10"/>
      <c r="H36" s="10"/>
      <c r="I36" s="10"/>
      <c r="J36" s="10"/>
      <c r="K36" s="10"/>
      <c r="L36" s="10"/>
      <c r="M36" s="10"/>
    </row>
    <row r="37" customFormat="false" ht="15" hidden="false" customHeight="false" outlineLevel="0" collapsed="false">
      <c r="A37" s="9"/>
      <c r="B37" s="10"/>
      <c r="C37" s="11" t="str">
        <f aca="false">IF(B37="","",IFERROR(INDEX('Câu hỏi'!$D$2:$D$21,MATCH(B37,'Câu hỏi'!$A$2:$A$21,0)),"Mã không có"))</f>
        <v/>
      </c>
      <c r="D37" s="10"/>
      <c r="E37" s="10"/>
      <c r="F37" s="10"/>
      <c r="G37" s="10"/>
      <c r="H37" s="10"/>
      <c r="I37" s="10"/>
      <c r="J37" s="10"/>
      <c r="K37" s="10"/>
      <c r="L37" s="10"/>
      <c r="M37" s="10"/>
    </row>
    <row r="38" customFormat="false" ht="15" hidden="false" customHeight="false" outlineLevel="0" collapsed="false">
      <c r="A38" s="9"/>
      <c r="B38" s="10"/>
      <c r="C38" s="11" t="str">
        <f aca="false">IF(B38="","",IFERROR(INDEX('Câu hỏi'!$D$2:$D$21,MATCH(B38,'Câu hỏi'!$A$2:$A$21,0)),"Mã không có"))</f>
        <v/>
      </c>
      <c r="D38" s="10"/>
      <c r="E38" s="10"/>
      <c r="F38" s="10"/>
      <c r="G38" s="10"/>
      <c r="H38" s="10"/>
      <c r="I38" s="10"/>
      <c r="J38" s="10"/>
      <c r="K38" s="10"/>
      <c r="L38" s="10"/>
      <c r="M38" s="10"/>
    </row>
    <row r="39" customFormat="false" ht="15" hidden="false" customHeight="false" outlineLevel="0" collapsed="false">
      <c r="A39" s="9"/>
      <c r="B39" s="10"/>
      <c r="C39" s="11" t="str">
        <f aca="false">IF(B39="","",IFERROR(INDEX('Câu hỏi'!$D$2:$D$21,MATCH(B39,'Câu hỏi'!$A$2:$A$21,0)),"Mã không có"))</f>
        <v/>
      </c>
      <c r="D39" s="10"/>
      <c r="E39" s="10"/>
      <c r="F39" s="10"/>
      <c r="G39" s="10"/>
      <c r="H39" s="10"/>
      <c r="I39" s="10"/>
      <c r="J39" s="10"/>
      <c r="K39" s="10"/>
      <c r="L39" s="10"/>
      <c r="M39" s="10"/>
    </row>
    <row r="40" customFormat="false" ht="15" hidden="false" customHeight="false" outlineLevel="0" collapsed="false">
      <c r="A40" s="9"/>
      <c r="B40" s="10"/>
      <c r="C40" s="11" t="str">
        <f aca="false">IF(B40="","",IFERROR(INDEX('Câu hỏi'!$D$2:$D$21,MATCH(B40,'Câu hỏi'!$A$2:$A$21,0)),"Mã không có"))</f>
        <v/>
      </c>
      <c r="D40" s="10"/>
      <c r="E40" s="10"/>
      <c r="F40" s="10"/>
      <c r="G40" s="10"/>
      <c r="H40" s="10"/>
      <c r="I40" s="10"/>
      <c r="J40" s="10"/>
      <c r="K40" s="10"/>
      <c r="L40" s="10"/>
      <c r="M40" s="10"/>
    </row>
    <row r="41" customFormat="false" ht="15" hidden="false" customHeight="false" outlineLevel="0" collapsed="false">
      <c r="A41" s="9"/>
      <c r="B41" s="10"/>
      <c r="C41" s="11" t="str">
        <f aca="false">IF(B41="","",IFERROR(INDEX('Câu hỏi'!$D$2:$D$21,MATCH(B41,'Câu hỏi'!$A$2:$A$21,0)),"Mã không có"))</f>
        <v/>
      </c>
      <c r="D41" s="10"/>
      <c r="E41" s="10"/>
      <c r="F41" s="10"/>
      <c r="G41" s="10"/>
      <c r="H41" s="10"/>
      <c r="I41" s="10"/>
      <c r="J41" s="10"/>
      <c r="K41" s="10"/>
      <c r="L41" s="10"/>
      <c r="M41" s="10"/>
    </row>
    <row r="42" customFormat="false" ht="15" hidden="false" customHeight="false" outlineLevel="0" collapsed="false">
      <c r="A42" s="9"/>
      <c r="B42" s="10"/>
      <c r="C42" s="11" t="str">
        <f aca="false">IF(B42="","",IFERROR(INDEX('Câu hỏi'!$D$2:$D$21,MATCH(B42,'Câu hỏi'!$A$2:$A$21,0)),"Mã không có"))</f>
        <v/>
      </c>
      <c r="D42" s="10"/>
      <c r="E42" s="10"/>
      <c r="F42" s="10"/>
      <c r="G42" s="10"/>
      <c r="H42" s="10"/>
      <c r="I42" s="10"/>
      <c r="J42" s="10"/>
      <c r="K42" s="10"/>
      <c r="L42" s="10"/>
      <c r="M42" s="10"/>
    </row>
    <row r="43" customFormat="false" ht="15" hidden="false" customHeight="false" outlineLevel="0" collapsed="false">
      <c r="A43" s="9"/>
      <c r="B43" s="10"/>
      <c r="C43" s="11" t="str">
        <f aca="false">IF(B43="","",IFERROR(INDEX('Câu hỏi'!$D$2:$D$21,MATCH(B43,'Câu hỏi'!$A$2:$A$21,0)),"Mã không có"))</f>
        <v/>
      </c>
      <c r="D43" s="10"/>
      <c r="E43" s="10"/>
      <c r="F43" s="10"/>
      <c r="G43" s="10"/>
      <c r="H43" s="10"/>
      <c r="I43" s="10"/>
      <c r="J43" s="10"/>
      <c r="K43" s="10"/>
      <c r="L43" s="10"/>
      <c r="M43" s="10"/>
    </row>
    <row r="44" customFormat="false" ht="15" hidden="false" customHeight="false" outlineLevel="0" collapsed="false">
      <c r="A44" s="9"/>
      <c r="B44" s="10"/>
      <c r="C44" s="11" t="str">
        <f aca="false">IF(B44="","",IFERROR(INDEX('Câu hỏi'!$D$2:$D$21,MATCH(B44,'Câu hỏi'!$A$2:$A$21,0)),"Mã không có"))</f>
        <v/>
      </c>
      <c r="D44" s="10"/>
      <c r="E44" s="10"/>
      <c r="F44" s="10"/>
      <c r="G44" s="10"/>
      <c r="H44" s="10"/>
      <c r="I44" s="10"/>
      <c r="J44" s="10"/>
      <c r="K44" s="10"/>
      <c r="L44" s="10"/>
      <c r="M44" s="10"/>
    </row>
    <row r="45" customFormat="false" ht="15" hidden="false" customHeight="false" outlineLevel="0" collapsed="false">
      <c r="A45" s="9"/>
      <c r="B45" s="10"/>
      <c r="C45" s="11" t="str">
        <f aca="false">IF(B45="","",IFERROR(INDEX('Câu hỏi'!$D$2:$D$21,MATCH(B45,'Câu hỏi'!$A$2:$A$21,0)),"Mã không có"))</f>
        <v/>
      </c>
      <c r="D45" s="10"/>
      <c r="E45" s="10"/>
      <c r="F45" s="10"/>
      <c r="G45" s="10"/>
      <c r="H45" s="10"/>
      <c r="I45" s="10"/>
      <c r="J45" s="10"/>
      <c r="K45" s="10"/>
      <c r="L45" s="10"/>
      <c r="M45" s="10"/>
    </row>
    <row r="46" customFormat="false" ht="15" hidden="false" customHeight="false" outlineLevel="0" collapsed="false">
      <c r="A46" s="9"/>
      <c r="B46" s="10"/>
      <c r="C46" s="11" t="str">
        <f aca="false">IF(B46="","",IFERROR(INDEX('Câu hỏi'!$D$2:$D$21,MATCH(B46,'Câu hỏi'!$A$2:$A$21,0)),"Mã không có"))</f>
        <v/>
      </c>
      <c r="D46" s="10"/>
      <c r="E46" s="10"/>
      <c r="F46" s="10"/>
      <c r="G46" s="10"/>
      <c r="H46" s="10"/>
      <c r="I46" s="10"/>
      <c r="J46" s="10"/>
      <c r="K46" s="10"/>
      <c r="L46" s="10"/>
      <c r="M46" s="10"/>
    </row>
    <row r="47" customFormat="false" ht="15" hidden="false" customHeight="false" outlineLevel="0" collapsed="false">
      <c r="A47" s="9"/>
      <c r="B47" s="10"/>
      <c r="C47" s="11" t="str">
        <f aca="false">IF(B47="","",IFERROR(INDEX('Câu hỏi'!$D$2:$D$21,MATCH(B47,'Câu hỏi'!$A$2:$A$21,0)),"Mã không có"))</f>
        <v/>
      </c>
      <c r="D47" s="10"/>
      <c r="E47" s="10"/>
      <c r="F47" s="10"/>
      <c r="G47" s="10"/>
      <c r="H47" s="10"/>
      <c r="I47" s="10"/>
      <c r="J47" s="10"/>
      <c r="K47" s="10"/>
      <c r="L47" s="10"/>
      <c r="M47" s="10"/>
    </row>
    <row r="48" customFormat="false" ht="15" hidden="false" customHeight="false" outlineLevel="0" collapsed="false">
      <c r="A48" s="9"/>
      <c r="B48" s="10"/>
      <c r="C48" s="11" t="str">
        <f aca="false">IF(B48="","",IFERROR(INDEX('Câu hỏi'!$D$2:$D$21,MATCH(B48,'Câu hỏi'!$A$2:$A$21,0)),"Mã không có"))</f>
        <v/>
      </c>
      <c r="D48" s="10"/>
      <c r="E48" s="10"/>
      <c r="F48" s="10"/>
      <c r="G48" s="10"/>
      <c r="H48" s="10"/>
      <c r="I48" s="10"/>
      <c r="J48" s="10"/>
      <c r="K48" s="10"/>
      <c r="L48" s="10"/>
      <c r="M48" s="10"/>
    </row>
    <row r="49" customFormat="false" ht="15" hidden="false" customHeight="false" outlineLevel="0" collapsed="false">
      <c r="A49" s="9"/>
      <c r="B49" s="10"/>
      <c r="C49" s="11" t="str">
        <f aca="false">IF(B49="","",IFERROR(INDEX('Câu hỏi'!$D$2:$D$21,MATCH(B49,'Câu hỏi'!$A$2:$A$21,0)),"Mã không có"))</f>
        <v/>
      </c>
      <c r="D49" s="10"/>
      <c r="E49" s="10"/>
      <c r="F49" s="10"/>
      <c r="G49" s="10"/>
      <c r="H49" s="10"/>
      <c r="I49" s="10"/>
      <c r="J49" s="10"/>
      <c r="K49" s="10"/>
      <c r="L49" s="10"/>
      <c r="M49" s="10"/>
    </row>
    <row r="50" customFormat="false" ht="15" hidden="false" customHeight="false" outlineLevel="0" collapsed="false">
      <c r="A50" s="9"/>
      <c r="B50" s="10"/>
      <c r="C50" s="11" t="str">
        <f aca="false">IF(B50="","",IFERROR(INDEX('Câu hỏi'!$D$2:$D$21,MATCH(B50,'Câu hỏi'!$A$2:$A$21,0)),"Mã không có"))</f>
        <v/>
      </c>
      <c r="D50" s="10"/>
      <c r="E50" s="10"/>
      <c r="F50" s="10"/>
      <c r="G50" s="10"/>
      <c r="H50" s="10"/>
      <c r="I50" s="10"/>
      <c r="J50" s="10"/>
      <c r="K50" s="10"/>
      <c r="L50" s="10"/>
      <c r="M50" s="10"/>
    </row>
    <row r="51" customFormat="false" ht="15" hidden="false" customHeight="false" outlineLevel="0" collapsed="false">
      <c r="A51" s="9"/>
      <c r="B51" s="10"/>
      <c r="C51" s="11" t="str">
        <f aca="false">IF(B51="","",IFERROR(INDEX('Câu hỏi'!$D$2:$D$21,MATCH(B51,'Câu hỏi'!$A$2:$A$21,0)),"Mã không có"))</f>
        <v/>
      </c>
      <c r="D51" s="10"/>
      <c r="E51" s="10"/>
      <c r="F51" s="10"/>
      <c r="G51" s="10"/>
      <c r="H51" s="10"/>
      <c r="I51" s="10"/>
      <c r="J51" s="10"/>
      <c r="K51" s="10"/>
      <c r="L51" s="10"/>
      <c r="M51" s="10"/>
    </row>
    <row r="52" customFormat="false" ht="15" hidden="false" customHeight="false" outlineLevel="0" collapsed="false">
      <c r="A52" s="9"/>
      <c r="B52" s="10"/>
      <c r="C52" s="11" t="str">
        <f aca="false">IF(B52="","",IFERROR(INDEX('Câu hỏi'!$D$2:$D$21,MATCH(B52,'Câu hỏi'!$A$2:$A$21,0)),"Mã không có"))</f>
        <v/>
      </c>
      <c r="D52" s="10"/>
      <c r="E52" s="10"/>
      <c r="F52" s="10"/>
      <c r="G52" s="10"/>
      <c r="H52" s="10"/>
      <c r="I52" s="10"/>
      <c r="J52" s="10"/>
      <c r="K52" s="10"/>
      <c r="L52" s="10"/>
      <c r="M52" s="10"/>
    </row>
    <row r="53" customFormat="false" ht="15" hidden="false" customHeight="false" outlineLevel="0" collapsed="false">
      <c r="A53" s="9"/>
      <c r="B53" s="10"/>
      <c r="C53" s="11" t="str">
        <f aca="false">IF(B53="","",IFERROR(INDEX('Câu hỏi'!$D$2:$D$21,MATCH(B53,'Câu hỏi'!$A$2:$A$21,0)),"Mã không có"))</f>
        <v/>
      </c>
      <c r="D53" s="10"/>
      <c r="E53" s="10"/>
      <c r="F53" s="10"/>
      <c r="G53" s="10"/>
      <c r="H53" s="10"/>
      <c r="I53" s="10"/>
      <c r="J53" s="10"/>
      <c r="K53" s="10"/>
      <c r="L53" s="10"/>
      <c r="M53" s="10"/>
    </row>
    <row r="54" customFormat="false" ht="15" hidden="false" customHeight="false" outlineLevel="0" collapsed="false">
      <c r="A54" s="9"/>
      <c r="B54" s="10"/>
      <c r="C54" s="11" t="str">
        <f aca="false">IF(B54="","",IFERROR(INDEX('Câu hỏi'!$D$2:$D$21,MATCH(B54,'Câu hỏi'!$A$2:$A$21,0)),"Mã không có"))</f>
        <v/>
      </c>
      <c r="D54" s="10"/>
      <c r="E54" s="10"/>
      <c r="F54" s="10"/>
      <c r="G54" s="10"/>
      <c r="H54" s="10"/>
      <c r="I54" s="10"/>
      <c r="J54" s="10"/>
      <c r="K54" s="10"/>
      <c r="L54" s="10"/>
      <c r="M54" s="10"/>
    </row>
    <row r="55" customFormat="false" ht="15" hidden="false" customHeight="false" outlineLevel="0" collapsed="false">
      <c r="A55" s="9"/>
      <c r="B55" s="10"/>
      <c r="C55" s="11" t="str">
        <f aca="false">IF(B55="","",IFERROR(INDEX('Câu hỏi'!$D$2:$D$21,MATCH(B55,'Câu hỏi'!$A$2:$A$21,0)),"Mã không có"))</f>
        <v/>
      </c>
      <c r="D55" s="10"/>
      <c r="E55" s="10"/>
      <c r="F55" s="10"/>
      <c r="G55" s="10"/>
      <c r="H55" s="10"/>
      <c r="I55" s="10"/>
      <c r="J55" s="10"/>
      <c r="K55" s="10"/>
      <c r="L55" s="10"/>
      <c r="M55" s="10"/>
    </row>
    <row r="56" customFormat="false" ht="15" hidden="false" customHeight="false" outlineLevel="0" collapsed="false">
      <c r="A56" s="9"/>
      <c r="B56" s="10"/>
      <c r="C56" s="11" t="str">
        <f aca="false">IF(B56="","",IFERROR(INDEX('Câu hỏi'!$D$2:$D$21,MATCH(B56,'Câu hỏi'!$A$2:$A$21,0)),"Mã không có"))</f>
        <v/>
      </c>
      <c r="D56" s="10"/>
      <c r="E56" s="10"/>
      <c r="F56" s="10"/>
      <c r="G56" s="10"/>
      <c r="H56" s="10"/>
      <c r="I56" s="10"/>
      <c r="J56" s="10"/>
      <c r="K56" s="10"/>
      <c r="L56" s="10"/>
      <c r="M56" s="10"/>
    </row>
    <row r="57" customFormat="false" ht="15" hidden="false" customHeight="false" outlineLevel="0" collapsed="false">
      <c r="A57" s="9"/>
      <c r="B57" s="10"/>
      <c r="C57" s="11" t="str">
        <f aca="false">IF(B57="","",IFERROR(INDEX('Câu hỏi'!$D$2:$D$21,MATCH(B57,'Câu hỏi'!$A$2:$A$21,0)),"Mã không có"))</f>
        <v/>
      </c>
      <c r="D57" s="10"/>
      <c r="E57" s="10"/>
      <c r="F57" s="10"/>
      <c r="G57" s="10"/>
      <c r="H57" s="10"/>
      <c r="I57" s="10"/>
      <c r="J57" s="10"/>
      <c r="K57" s="10"/>
      <c r="L57" s="10"/>
      <c r="M57" s="10"/>
    </row>
    <row r="58" customFormat="false" ht="15" hidden="false" customHeight="false" outlineLevel="0" collapsed="false">
      <c r="A58" s="9"/>
      <c r="B58" s="10"/>
      <c r="C58" s="11" t="str">
        <f aca="false">IF(B58="","",IFERROR(INDEX('Câu hỏi'!$D$2:$D$21,MATCH(B58,'Câu hỏi'!$A$2:$A$21,0)),"Mã không có"))</f>
        <v/>
      </c>
      <c r="D58" s="10"/>
      <c r="E58" s="10"/>
      <c r="F58" s="10"/>
      <c r="G58" s="10"/>
      <c r="H58" s="10"/>
      <c r="I58" s="10"/>
      <c r="J58" s="10"/>
      <c r="K58" s="10"/>
      <c r="L58" s="10"/>
      <c r="M58" s="10"/>
    </row>
    <row r="59" customFormat="false" ht="15" hidden="false" customHeight="false" outlineLevel="0" collapsed="false">
      <c r="A59" s="9"/>
      <c r="B59" s="10"/>
      <c r="C59" s="11" t="str">
        <f aca="false">IF(B59="","",IFERROR(INDEX('Câu hỏi'!$D$2:$D$21,MATCH(B59,'Câu hỏi'!$A$2:$A$21,0)),"Mã không có"))</f>
        <v/>
      </c>
      <c r="D59" s="10"/>
      <c r="E59" s="10"/>
      <c r="F59" s="10"/>
      <c r="G59" s="10"/>
      <c r="H59" s="10"/>
      <c r="I59" s="10"/>
      <c r="J59" s="10"/>
      <c r="K59" s="10"/>
      <c r="L59" s="10"/>
      <c r="M59" s="10"/>
    </row>
    <row r="60" customFormat="false" ht="15" hidden="false" customHeight="false" outlineLevel="0" collapsed="false">
      <c r="A60" s="9"/>
      <c r="B60" s="10"/>
      <c r="C60" s="11" t="str">
        <f aca="false">IF(B60="","",IFERROR(INDEX('Câu hỏi'!$D$2:$D$21,MATCH(B60,'Câu hỏi'!$A$2:$A$21,0)),"Mã không có"))</f>
        <v/>
      </c>
      <c r="D60" s="10"/>
      <c r="E60" s="10"/>
      <c r="F60" s="10"/>
      <c r="G60" s="10"/>
      <c r="H60" s="10"/>
      <c r="I60" s="10"/>
      <c r="J60" s="10"/>
      <c r="K60" s="10"/>
      <c r="L60" s="10"/>
      <c r="M60" s="10"/>
    </row>
    <row r="61" customFormat="false" ht="15" hidden="false" customHeight="false" outlineLevel="0" collapsed="false">
      <c r="A61" s="9"/>
      <c r="B61" s="10"/>
      <c r="C61" s="11" t="str">
        <f aca="false">IF(B61="","",IFERROR(INDEX('Câu hỏi'!$D$2:$D$21,MATCH(B61,'Câu hỏi'!$A$2:$A$21,0)),"Mã không có"))</f>
        <v/>
      </c>
      <c r="D61" s="10"/>
      <c r="E61" s="10"/>
      <c r="F61" s="10"/>
      <c r="G61" s="10"/>
      <c r="H61" s="10"/>
      <c r="I61" s="10"/>
      <c r="J61" s="10"/>
      <c r="K61" s="10"/>
      <c r="L61" s="10"/>
      <c r="M61" s="10"/>
    </row>
    <row r="62" customFormat="false" ht="15" hidden="false" customHeight="false" outlineLevel="0" collapsed="false">
      <c r="A62" s="9"/>
      <c r="B62" s="10"/>
      <c r="C62" s="11" t="str">
        <f aca="false">IF(B62="","",IFERROR(INDEX('Câu hỏi'!$D$2:$D$21,MATCH(B62,'Câu hỏi'!$A$2:$A$21,0)),"Mã không có"))</f>
        <v/>
      </c>
      <c r="D62" s="10"/>
      <c r="E62" s="10"/>
      <c r="F62" s="10"/>
      <c r="G62" s="10"/>
      <c r="H62" s="10"/>
      <c r="I62" s="10"/>
      <c r="J62" s="10"/>
      <c r="K62" s="10"/>
      <c r="L62" s="10"/>
      <c r="M62" s="10"/>
    </row>
    <row r="63" customFormat="false" ht="15" hidden="false" customHeight="false" outlineLevel="0" collapsed="false">
      <c r="A63" s="9"/>
      <c r="B63" s="10"/>
      <c r="C63" s="11" t="str">
        <f aca="false">IF(B63="","",IFERROR(INDEX('Câu hỏi'!$D$2:$D$21,MATCH(B63,'Câu hỏi'!$A$2:$A$21,0)),"Mã không có"))</f>
        <v/>
      </c>
      <c r="D63" s="10"/>
      <c r="E63" s="10"/>
      <c r="F63" s="10"/>
      <c r="G63" s="10"/>
      <c r="H63" s="10"/>
      <c r="I63" s="10"/>
      <c r="J63" s="10"/>
      <c r="K63" s="10"/>
      <c r="L63" s="10"/>
      <c r="M63" s="10"/>
    </row>
    <row r="64" customFormat="false" ht="15" hidden="false" customHeight="false" outlineLevel="0" collapsed="false">
      <c r="A64" s="9"/>
      <c r="B64" s="10"/>
      <c r="C64" s="11" t="str">
        <f aca="false">IF(B64="","",IFERROR(INDEX('Câu hỏi'!$D$2:$D$21,MATCH(B64,'Câu hỏi'!$A$2:$A$21,0)),"Mã không có"))</f>
        <v/>
      </c>
      <c r="D64" s="10"/>
      <c r="E64" s="10"/>
      <c r="F64" s="10"/>
      <c r="G64" s="10"/>
      <c r="H64" s="10"/>
      <c r="I64" s="10"/>
      <c r="J64" s="10"/>
      <c r="K64" s="10"/>
      <c r="L64" s="10"/>
      <c r="M64" s="10"/>
    </row>
    <row r="65" customFormat="false" ht="15" hidden="false" customHeight="false" outlineLevel="0" collapsed="false">
      <c r="A65" s="9"/>
      <c r="B65" s="10"/>
      <c r="C65" s="11" t="str">
        <f aca="false">IF(B65="","",IFERROR(INDEX('Câu hỏi'!$D$2:$D$21,MATCH(B65,'Câu hỏi'!$A$2:$A$21,0)),"Mã không có"))</f>
        <v/>
      </c>
      <c r="D65" s="10"/>
      <c r="E65" s="10"/>
      <c r="F65" s="10"/>
      <c r="G65" s="10"/>
      <c r="H65" s="10"/>
      <c r="I65" s="10"/>
      <c r="J65" s="10"/>
      <c r="K65" s="10"/>
      <c r="L65" s="10"/>
      <c r="M65" s="10"/>
    </row>
    <row r="66" customFormat="false" ht="15" hidden="false" customHeight="false" outlineLevel="0" collapsed="false">
      <c r="A66" s="9"/>
      <c r="B66" s="10"/>
      <c r="C66" s="11" t="str">
        <f aca="false">IF(B66="","",IFERROR(INDEX('Câu hỏi'!$D$2:$D$21,MATCH(B66,'Câu hỏi'!$A$2:$A$21,0)),"Mã không có"))</f>
        <v/>
      </c>
      <c r="D66" s="10"/>
      <c r="E66" s="10"/>
      <c r="F66" s="10"/>
      <c r="G66" s="10"/>
      <c r="H66" s="10"/>
      <c r="I66" s="10"/>
      <c r="J66" s="10"/>
      <c r="K66" s="10"/>
      <c r="L66" s="10"/>
      <c r="M66" s="10"/>
    </row>
    <row r="67" customFormat="false" ht="15" hidden="false" customHeight="false" outlineLevel="0" collapsed="false">
      <c r="A67" s="9"/>
      <c r="B67" s="10"/>
      <c r="C67" s="11" t="str">
        <f aca="false">IF(B67="","",IFERROR(INDEX('Câu hỏi'!$D$2:$D$21,MATCH(B67,'Câu hỏi'!$A$2:$A$21,0)),"Mã không có"))</f>
        <v/>
      </c>
      <c r="D67" s="10"/>
      <c r="E67" s="10"/>
      <c r="F67" s="10"/>
      <c r="G67" s="10"/>
      <c r="H67" s="10"/>
      <c r="I67" s="10"/>
      <c r="J67" s="10"/>
      <c r="K67" s="10"/>
      <c r="L67" s="10"/>
      <c r="M67" s="10"/>
    </row>
    <row r="68" customFormat="false" ht="15" hidden="false" customHeight="false" outlineLevel="0" collapsed="false">
      <c r="A68" s="9"/>
      <c r="B68" s="10"/>
      <c r="C68" s="11" t="str">
        <f aca="false">IF(B68="","",IFERROR(INDEX('Câu hỏi'!$D$2:$D$21,MATCH(B68,'Câu hỏi'!$A$2:$A$21,0)),"Mã không có"))</f>
        <v/>
      </c>
      <c r="D68" s="10"/>
      <c r="E68" s="10"/>
      <c r="F68" s="10"/>
      <c r="G68" s="10"/>
      <c r="H68" s="10"/>
      <c r="I68" s="10"/>
      <c r="J68" s="10"/>
      <c r="K68" s="10"/>
      <c r="L68" s="10"/>
      <c r="M68" s="10"/>
    </row>
    <row r="69" customFormat="false" ht="15" hidden="false" customHeight="false" outlineLevel="0" collapsed="false">
      <c r="A69" s="9"/>
      <c r="B69" s="10"/>
      <c r="C69" s="11" t="str">
        <f aca="false">IF(B69="","",IFERROR(INDEX('Câu hỏi'!$D$2:$D$21,MATCH(B69,'Câu hỏi'!$A$2:$A$21,0)),"Mã không có"))</f>
        <v/>
      </c>
      <c r="D69" s="10"/>
      <c r="E69" s="10"/>
      <c r="F69" s="10"/>
      <c r="G69" s="10"/>
      <c r="H69" s="10"/>
      <c r="I69" s="10"/>
      <c r="J69" s="10"/>
      <c r="K69" s="10"/>
      <c r="L69" s="10"/>
      <c r="M69" s="10"/>
    </row>
    <row r="70" customFormat="false" ht="15" hidden="false" customHeight="false" outlineLevel="0" collapsed="false">
      <c r="A70" s="9"/>
      <c r="B70" s="10"/>
      <c r="C70" s="11" t="str">
        <f aca="false">IF(B70="","",IFERROR(INDEX('Câu hỏi'!$D$2:$D$21,MATCH(B70,'Câu hỏi'!$A$2:$A$21,0)),"Mã không có"))</f>
        <v/>
      </c>
      <c r="D70" s="10"/>
      <c r="E70" s="10"/>
      <c r="F70" s="10"/>
      <c r="G70" s="10"/>
      <c r="H70" s="10"/>
      <c r="I70" s="10"/>
      <c r="J70" s="10"/>
      <c r="K70" s="10"/>
      <c r="L70" s="10"/>
      <c r="M70" s="10"/>
    </row>
    <row r="71" customFormat="false" ht="15" hidden="false" customHeight="false" outlineLevel="0" collapsed="false">
      <c r="A71" s="9"/>
      <c r="B71" s="10"/>
      <c r="C71" s="11" t="str">
        <f aca="false">IF(B71="","",IFERROR(INDEX('Câu hỏi'!$D$2:$D$21,MATCH(B71,'Câu hỏi'!$A$2:$A$21,0)),"Mã không có"))</f>
        <v/>
      </c>
      <c r="D71" s="10"/>
      <c r="E71" s="10"/>
      <c r="F71" s="10"/>
      <c r="G71" s="10"/>
      <c r="H71" s="10"/>
      <c r="I71" s="10"/>
      <c r="J71" s="10"/>
      <c r="K71" s="10"/>
      <c r="L71" s="10"/>
      <c r="M71" s="10"/>
    </row>
    <row r="72" customFormat="false" ht="15" hidden="false" customHeight="false" outlineLevel="0" collapsed="false">
      <c r="A72" s="9"/>
      <c r="B72" s="10"/>
      <c r="C72" s="11" t="str">
        <f aca="false">IF(B72="","",IFERROR(INDEX('Câu hỏi'!$D$2:$D$21,MATCH(B72,'Câu hỏi'!$A$2:$A$21,0)),"Mã không có"))</f>
        <v/>
      </c>
      <c r="D72" s="10"/>
      <c r="E72" s="10"/>
      <c r="F72" s="10"/>
      <c r="G72" s="10"/>
      <c r="H72" s="10"/>
      <c r="I72" s="10"/>
      <c r="J72" s="10"/>
      <c r="K72" s="10"/>
      <c r="L72" s="10"/>
      <c r="M72" s="10"/>
    </row>
    <row r="73" customFormat="false" ht="15" hidden="false" customHeight="false" outlineLevel="0" collapsed="false">
      <c r="A73" s="9"/>
      <c r="B73" s="10"/>
      <c r="C73" s="11" t="str">
        <f aca="false">IF(B73="","",IFERROR(INDEX('Câu hỏi'!$D$2:$D$21,MATCH(B73,'Câu hỏi'!$A$2:$A$21,0)),"Mã không có"))</f>
        <v/>
      </c>
      <c r="D73" s="10"/>
      <c r="E73" s="10"/>
      <c r="F73" s="10"/>
      <c r="G73" s="10"/>
      <c r="H73" s="10"/>
      <c r="I73" s="10"/>
      <c r="J73" s="10"/>
      <c r="K73" s="10"/>
      <c r="L73" s="10"/>
      <c r="M73" s="10"/>
    </row>
    <row r="74" customFormat="false" ht="15" hidden="false" customHeight="false" outlineLevel="0" collapsed="false">
      <c r="A74" s="9"/>
      <c r="B74" s="10"/>
      <c r="C74" s="11" t="str">
        <f aca="false">IF(B74="","",IFERROR(INDEX('Câu hỏi'!$D$2:$D$21,MATCH(B74,'Câu hỏi'!$A$2:$A$21,0)),"Mã không có"))</f>
        <v/>
      </c>
      <c r="D74" s="10"/>
      <c r="E74" s="10"/>
      <c r="F74" s="10"/>
      <c r="G74" s="10"/>
      <c r="H74" s="10"/>
      <c r="I74" s="10"/>
      <c r="J74" s="10"/>
      <c r="K74" s="10"/>
      <c r="L74" s="10"/>
      <c r="M74" s="10"/>
    </row>
    <row r="75" customFormat="false" ht="15" hidden="false" customHeight="false" outlineLevel="0" collapsed="false">
      <c r="A75" s="9"/>
      <c r="B75" s="10"/>
      <c r="C75" s="11" t="str">
        <f aca="false">IF(B75="","",IFERROR(INDEX('Câu hỏi'!$D$2:$D$21,MATCH(B75,'Câu hỏi'!$A$2:$A$21,0)),"Mã không có"))</f>
        <v/>
      </c>
      <c r="D75" s="10"/>
      <c r="E75" s="10"/>
      <c r="F75" s="10"/>
      <c r="G75" s="10"/>
      <c r="H75" s="10"/>
      <c r="I75" s="10"/>
      <c r="J75" s="10"/>
      <c r="K75" s="10"/>
      <c r="L75" s="10"/>
      <c r="M75" s="10"/>
    </row>
    <row r="76" customFormat="false" ht="15" hidden="false" customHeight="false" outlineLevel="0" collapsed="false">
      <c r="A76" s="9"/>
      <c r="B76" s="10"/>
      <c r="C76" s="11" t="str">
        <f aca="false">IF(B76="","",IFERROR(INDEX('Câu hỏi'!$D$2:$D$21,MATCH(B76,'Câu hỏi'!$A$2:$A$21,0)),"Mã không có"))</f>
        <v/>
      </c>
      <c r="D76" s="10"/>
      <c r="E76" s="10"/>
      <c r="F76" s="10"/>
      <c r="G76" s="10"/>
      <c r="H76" s="10"/>
      <c r="I76" s="10"/>
      <c r="J76" s="10"/>
      <c r="K76" s="10"/>
      <c r="L76" s="10"/>
      <c r="M76" s="10"/>
    </row>
    <row r="77" customFormat="false" ht="15" hidden="false" customHeight="false" outlineLevel="0" collapsed="false">
      <c r="A77" s="9"/>
      <c r="B77" s="10"/>
      <c r="C77" s="11" t="str">
        <f aca="false">IF(B77="","",IFERROR(INDEX('Câu hỏi'!$D$2:$D$21,MATCH(B77,'Câu hỏi'!$A$2:$A$21,0)),"Mã không có"))</f>
        <v/>
      </c>
      <c r="D77" s="10"/>
      <c r="E77" s="10"/>
      <c r="F77" s="10"/>
      <c r="G77" s="10"/>
      <c r="H77" s="10"/>
      <c r="I77" s="10"/>
      <c r="J77" s="10"/>
      <c r="K77" s="10"/>
      <c r="L77" s="10"/>
      <c r="M77" s="10"/>
    </row>
    <row r="78" customFormat="false" ht="15" hidden="false" customHeight="false" outlineLevel="0" collapsed="false">
      <c r="A78" s="9"/>
      <c r="B78" s="10"/>
      <c r="C78" s="11" t="str">
        <f aca="false">IF(B78="","",IFERROR(INDEX('Câu hỏi'!$D$2:$D$21,MATCH(B78,'Câu hỏi'!$A$2:$A$21,0)),"Mã không có"))</f>
        <v/>
      </c>
      <c r="D78" s="10"/>
      <c r="E78" s="10"/>
      <c r="F78" s="10"/>
      <c r="G78" s="10"/>
      <c r="H78" s="10"/>
      <c r="I78" s="10"/>
      <c r="J78" s="10"/>
      <c r="K78" s="10"/>
      <c r="L78" s="10"/>
      <c r="M78" s="10"/>
    </row>
    <row r="79" customFormat="false" ht="15" hidden="false" customHeight="false" outlineLevel="0" collapsed="false">
      <c r="A79" s="9"/>
      <c r="B79" s="10"/>
      <c r="C79" s="11" t="str">
        <f aca="false">IF(B79="","",IFERROR(INDEX('Câu hỏi'!$D$2:$D$21,MATCH(B79,'Câu hỏi'!$A$2:$A$21,0)),"Mã không có"))</f>
        <v/>
      </c>
      <c r="D79" s="10"/>
      <c r="E79" s="10"/>
      <c r="F79" s="10"/>
      <c r="G79" s="10"/>
      <c r="H79" s="10"/>
      <c r="I79" s="10"/>
      <c r="J79" s="10"/>
      <c r="K79" s="10"/>
      <c r="L79" s="10"/>
      <c r="M79" s="10"/>
    </row>
    <row r="80" customFormat="false" ht="15" hidden="false" customHeight="false" outlineLevel="0" collapsed="false">
      <c r="A80" s="9"/>
      <c r="B80" s="10"/>
      <c r="C80" s="11" t="str">
        <f aca="false">IF(B80="","",IFERROR(INDEX('Câu hỏi'!$D$2:$D$21,MATCH(B80,'Câu hỏi'!$A$2:$A$21,0)),"Mã không có"))</f>
        <v/>
      </c>
      <c r="D80" s="10"/>
      <c r="E80" s="10"/>
      <c r="F80" s="10"/>
      <c r="G80" s="10"/>
      <c r="H80" s="10"/>
      <c r="I80" s="10"/>
      <c r="J80" s="10"/>
      <c r="K80" s="10"/>
      <c r="L80" s="10"/>
      <c r="M80" s="10"/>
    </row>
    <row r="81" customFormat="false" ht="15" hidden="false" customHeight="false" outlineLevel="0" collapsed="false">
      <c r="A81" s="9"/>
      <c r="B81" s="10"/>
      <c r="C81" s="11" t="str">
        <f aca="false">IF(B81="","",IFERROR(INDEX('Câu hỏi'!$D$2:$D$21,MATCH(B81,'Câu hỏi'!$A$2:$A$21,0)),"Mã không có"))</f>
        <v/>
      </c>
      <c r="D81" s="10"/>
      <c r="E81" s="10"/>
      <c r="F81" s="10"/>
      <c r="G81" s="10"/>
      <c r="H81" s="10"/>
      <c r="I81" s="10"/>
      <c r="J81" s="10"/>
      <c r="K81" s="10"/>
      <c r="L81" s="10"/>
      <c r="M81" s="10"/>
    </row>
    <row r="82" customFormat="false" ht="15" hidden="false" customHeight="false" outlineLevel="0" collapsed="false">
      <c r="A82" s="9"/>
      <c r="B82" s="10"/>
      <c r="C82" s="11" t="str">
        <f aca="false">IF(B82="","",IFERROR(INDEX('Câu hỏi'!$D$2:$D$21,MATCH(B82,'Câu hỏi'!$A$2:$A$21,0)),"Mã không có"))</f>
        <v/>
      </c>
      <c r="D82" s="10"/>
      <c r="E82" s="10"/>
      <c r="F82" s="10"/>
      <c r="G82" s="10"/>
      <c r="H82" s="10"/>
      <c r="I82" s="10"/>
      <c r="J82" s="10"/>
      <c r="K82" s="10"/>
      <c r="L82" s="10"/>
      <c r="M82" s="10"/>
    </row>
    <row r="83" customFormat="false" ht="15" hidden="false" customHeight="false" outlineLevel="0" collapsed="false">
      <c r="A83" s="9"/>
      <c r="B83" s="10"/>
      <c r="C83" s="11" t="str">
        <f aca="false">IF(B83="","",IFERROR(INDEX('Câu hỏi'!$D$2:$D$21,MATCH(B83,'Câu hỏi'!$A$2:$A$21,0)),"Mã không có"))</f>
        <v/>
      </c>
      <c r="D83" s="10"/>
      <c r="E83" s="10"/>
      <c r="F83" s="10"/>
      <c r="G83" s="10"/>
      <c r="H83" s="10"/>
      <c r="I83" s="10"/>
      <c r="J83" s="10"/>
      <c r="K83" s="10"/>
      <c r="L83" s="10"/>
      <c r="M83" s="10"/>
    </row>
    <row r="84" customFormat="false" ht="15" hidden="false" customHeight="false" outlineLevel="0" collapsed="false">
      <c r="A84" s="9"/>
      <c r="B84" s="10"/>
      <c r="C84" s="11" t="str">
        <f aca="false">IF(B84="","",IFERROR(INDEX('Câu hỏi'!$D$2:$D$21,MATCH(B84,'Câu hỏi'!$A$2:$A$21,0)),"Mã không có"))</f>
        <v/>
      </c>
      <c r="D84" s="10"/>
      <c r="E84" s="10"/>
      <c r="F84" s="10"/>
      <c r="G84" s="10"/>
      <c r="H84" s="10"/>
      <c r="I84" s="10"/>
      <c r="J84" s="10"/>
      <c r="K84" s="10"/>
      <c r="L84" s="10"/>
      <c r="M84" s="10"/>
    </row>
    <row r="85" customFormat="false" ht="15" hidden="false" customHeight="false" outlineLevel="0" collapsed="false">
      <c r="A85" s="9"/>
      <c r="B85" s="10"/>
      <c r="C85" s="11" t="str">
        <f aca="false">IF(B85="","",IFERROR(INDEX('Câu hỏi'!$D$2:$D$21,MATCH(B85,'Câu hỏi'!$A$2:$A$21,0)),"Mã không có"))</f>
        <v/>
      </c>
      <c r="D85" s="10"/>
      <c r="E85" s="10"/>
      <c r="F85" s="10"/>
      <c r="G85" s="10"/>
      <c r="H85" s="10"/>
      <c r="I85" s="10"/>
      <c r="J85" s="10"/>
      <c r="K85" s="10"/>
      <c r="L85" s="10"/>
      <c r="M85" s="10"/>
    </row>
    <row r="86" customFormat="false" ht="15" hidden="false" customHeight="false" outlineLevel="0" collapsed="false">
      <c r="A86" s="9"/>
      <c r="B86" s="10"/>
      <c r="C86" s="11" t="str">
        <f aca="false">IF(B86="","",IFERROR(INDEX('Câu hỏi'!$D$2:$D$21,MATCH(B86,'Câu hỏi'!$A$2:$A$21,0)),"Mã không có"))</f>
        <v/>
      </c>
      <c r="D86" s="10"/>
      <c r="E86" s="10"/>
      <c r="F86" s="10"/>
      <c r="G86" s="10"/>
      <c r="H86" s="10"/>
      <c r="I86" s="10"/>
      <c r="J86" s="10"/>
      <c r="K86" s="10"/>
      <c r="L86" s="10"/>
      <c r="M86" s="10"/>
    </row>
    <row r="87" customFormat="false" ht="15" hidden="false" customHeight="false" outlineLevel="0" collapsed="false">
      <c r="A87" s="9"/>
      <c r="B87" s="10"/>
      <c r="C87" s="11" t="str">
        <f aca="false">IF(B87="","",IFERROR(INDEX('Câu hỏi'!$D$2:$D$21,MATCH(B87,'Câu hỏi'!$A$2:$A$21,0)),"Mã không có"))</f>
        <v/>
      </c>
      <c r="D87" s="10"/>
      <c r="E87" s="10"/>
      <c r="F87" s="10"/>
      <c r="G87" s="10"/>
      <c r="H87" s="10"/>
      <c r="I87" s="10"/>
      <c r="J87" s="10"/>
      <c r="K87" s="10"/>
      <c r="L87" s="10"/>
      <c r="M87" s="10"/>
    </row>
    <row r="88" customFormat="false" ht="15" hidden="false" customHeight="false" outlineLevel="0" collapsed="false">
      <c r="A88" s="9"/>
      <c r="B88" s="10"/>
      <c r="C88" s="11" t="str">
        <f aca="false">IF(B88="","",IFERROR(INDEX('Câu hỏi'!$D$2:$D$21,MATCH(B88,'Câu hỏi'!$A$2:$A$21,0)),"Mã không có"))</f>
        <v/>
      </c>
      <c r="D88" s="10"/>
      <c r="E88" s="10"/>
      <c r="F88" s="10"/>
      <c r="G88" s="10"/>
      <c r="H88" s="10"/>
      <c r="I88" s="10"/>
      <c r="J88" s="10"/>
      <c r="K88" s="10"/>
      <c r="L88" s="10"/>
      <c r="M88" s="10"/>
    </row>
    <row r="89" customFormat="false" ht="15" hidden="false" customHeight="false" outlineLevel="0" collapsed="false">
      <c r="A89" s="9"/>
      <c r="B89" s="10"/>
      <c r="C89" s="11" t="str">
        <f aca="false">IF(B89="","",IFERROR(INDEX('Câu hỏi'!$D$2:$D$21,MATCH(B89,'Câu hỏi'!$A$2:$A$21,0)),"Mã không có"))</f>
        <v/>
      </c>
      <c r="D89" s="10"/>
      <c r="E89" s="10"/>
      <c r="F89" s="10"/>
      <c r="G89" s="10"/>
      <c r="H89" s="10"/>
      <c r="I89" s="10"/>
      <c r="J89" s="10"/>
      <c r="K89" s="10"/>
      <c r="L89" s="10"/>
      <c r="M89" s="10"/>
    </row>
    <row r="90" customFormat="false" ht="15" hidden="false" customHeight="false" outlineLevel="0" collapsed="false">
      <c r="A90" s="9"/>
      <c r="B90" s="10"/>
      <c r="C90" s="11" t="str">
        <f aca="false">IF(B90="","",IFERROR(INDEX('Câu hỏi'!$D$2:$D$21,MATCH(B90,'Câu hỏi'!$A$2:$A$21,0)),"Mã không có"))</f>
        <v/>
      </c>
      <c r="D90" s="10"/>
      <c r="E90" s="10"/>
      <c r="F90" s="10"/>
      <c r="G90" s="10"/>
      <c r="H90" s="10"/>
      <c r="I90" s="10"/>
      <c r="J90" s="10"/>
      <c r="K90" s="10"/>
      <c r="L90" s="10"/>
      <c r="M90" s="10"/>
    </row>
    <row r="91" customFormat="false" ht="15" hidden="false" customHeight="false" outlineLevel="0" collapsed="false">
      <c r="A91" s="9"/>
      <c r="B91" s="10"/>
      <c r="C91" s="11" t="str">
        <f aca="false">IF(B91="","",IFERROR(INDEX('Câu hỏi'!$D$2:$D$21,MATCH(B91,'Câu hỏi'!$A$2:$A$21,0)),"Mã không có"))</f>
        <v/>
      </c>
      <c r="D91" s="10"/>
      <c r="E91" s="10"/>
      <c r="F91" s="10"/>
      <c r="G91" s="10"/>
      <c r="H91" s="10"/>
      <c r="I91" s="10"/>
      <c r="J91" s="10"/>
      <c r="K91" s="10"/>
      <c r="L91" s="10"/>
      <c r="M91" s="10"/>
    </row>
    <row r="92" customFormat="false" ht="15" hidden="false" customHeight="false" outlineLevel="0" collapsed="false">
      <c r="A92" s="9"/>
      <c r="B92" s="10"/>
      <c r="C92" s="11" t="str">
        <f aca="false">IF(B92="","",IFERROR(INDEX('Câu hỏi'!$D$2:$D$21,MATCH(B92,'Câu hỏi'!$A$2:$A$21,0)),"Mã không có"))</f>
        <v/>
      </c>
      <c r="D92" s="10"/>
      <c r="E92" s="10"/>
      <c r="F92" s="10"/>
      <c r="G92" s="10"/>
      <c r="H92" s="10"/>
      <c r="I92" s="10"/>
      <c r="J92" s="10"/>
      <c r="K92" s="10"/>
      <c r="L92" s="10"/>
      <c r="M92" s="10"/>
    </row>
    <row r="93" customFormat="false" ht="15" hidden="false" customHeight="false" outlineLevel="0" collapsed="false">
      <c r="A93" s="9"/>
      <c r="B93" s="10"/>
      <c r="C93" s="11" t="str">
        <f aca="false">IF(B93="","",IFERROR(INDEX('Câu hỏi'!$D$2:$D$21,MATCH(B93,'Câu hỏi'!$A$2:$A$21,0)),"Mã không có"))</f>
        <v/>
      </c>
      <c r="D93" s="10"/>
      <c r="E93" s="10"/>
      <c r="F93" s="10"/>
      <c r="G93" s="10"/>
      <c r="H93" s="10"/>
      <c r="I93" s="10"/>
      <c r="J93" s="10"/>
      <c r="K93" s="10"/>
      <c r="L93" s="10"/>
      <c r="M93" s="10"/>
    </row>
    <row r="94" customFormat="false" ht="15" hidden="false" customHeight="false" outlineLevel="0" collapsed="false">
      <c r="A94" s="9"/>
      <c r="B94" s="10"/>
      <c r="C94" s="11" t="str">
        <f aca="false">IF(B94="","",IFERROR(INDEX('Câu hỏi'!$D$2:$D$21,MATCH(B94,'Câu hỏi'!$A$2:$A$21,0)),"Mã không có"))</f>
        <v/>
      </c>
      <c r="D94" s="10"/>
      <c r="E94" s="10"/>
      <c r="F94" s="10"/>
      <c r="G94" s="10"/>
      <c r="H94" s="10"/>
      <c r="I94" s="10"/>
      <c r="J94" s="10"/>
      <c r="K94" s="10"/>
      <c r="L94" s="10"/>
      <c r="M94" s="10"/>
    </row>
    <row r="95" customFormat="false" ht="15" hidden="false" customHeight="false" outlineLevel="0" collapsed="false">
      <c r="A95" s="9"/>
      <c r="B95" s="10"/>
      <c r="C95" s="11" t="str">
        <f aca="false">IF(B95="","",IFERROR(INDEX('Câu hỏi'!$D$2:$D$21,MATCH(B95,'Câu hỏi'!$A$2:$A$21,0)),"Mã không có"))</f>
        <v/>
      </c>
      <c r="D95" s="10"/>
      <c r="E95" s="10"/>
      <c r="F95" s="10"/>
      <c r="G95" s="10"/>
      <c r="H95" s="10"/>
      <c r="I95" s="10"/>
      <c r="J95" s="10"/>
      <c r="K95" s="10"/>
      <c r="L95" s="10"/>
      <c r="M95" s="10"/>
    </row>
    <row r="96" customFormat="false" ht="15" hidden="false" customHeight="false" outlineLevel="0" collapsed="false">
      <c r="A96" s="9"/>
      <c r="B96" s="10"/>
      <c r="C96" s="11" t="str">
        <f aca="false">IF(B96="","",IFERROR(INDEX('Câu hỏi'!$D$2:$D$21,MATCH(B96,'Câu hỏi'!$A$2:$A$21,0)),"Mã không có"))</f>
        <v/>
      </c>
      <c r="D96" s="10"/>
      <c r="E96" s="10"/>
      <c r="F96" s="10"/>
      <c r="G96" s="10"/>
      <c r="H96" s="10"/>
      <c r="I96" s="10"/>
      <c r="J96" s="10"/>
      <c r="K96" s="10"/>
      <c r="L96" s="10"/>
      <c r="M96" s="10"/>
    </row>
    <row r="97" customFormat="false" ht="15" hidden="false" customHeight="false" outlineLevel="0" collapsed="false">
      <c r="A97" s="9"/>
      <c r="B97" s="10"/>
      <c r="C97" s="11" t="str">
        <f aca="false">IF(B97="","",IFERROR(INDEX('Câu hỏi'!$D$2:$D$21,MATCH(B97,'Câu hỏi'!$A$2:$A$21,0)),"Mã không có"))</f>
        <v/>
      </c>
      <c r="D97" s="10"/>
      <c r="E97" s="10"/>
      <c r="F97" s="10"/>
      <c r="G97" s="10"/>
      <c r="H97" s="10"/>
      <c r="I97" s="10"/>
      <c r="J97" s="10"/>
      <c r="K97" s="10"/>
      <c r="L97" s="10"/>
      <c r="M97" s="10"/>
    </row>
    <row r="98" customFormat="false" ht="15" hidden="false" customHeight="false" outlineLevel="0" collapsed="false">
      <c r="A98" s="9"/>
      <c r="B98" s="10"/>
      <c r="C98" s="11" t="str">
        <f aca="false">IF(B98="","",IFERROR(INDEX('Câu hỏi'!$D$2:$D$21,MATCH(B98,'Câu hỏi'!$A$2:$A$21,0)),"Mã không có"))</f>
        <v/>
      </c>
      <c r="D98" s="10"/>
      <c r="E98" s="10"/>
      <c r="F98" s="10"/>
      <c r="G98" s="10"/>
      <c r="H98" s="10"/>
      <c r="I98" s="10"/>
      <c r="J98" s="10"/>
      <c r="K98" s="10"/>
      <c r="L98" s="10"/>
      <c r="M98" s="10"/>
    </row>
    <row r="99" customFormat="false" ht="15" hidden="false" customHeight="false" outlineLevel="0" collapsed="false">
      <c r="A99" s="9"/>
      <c r="B99" s="10"/>
      <c r="C99" s="11" t="str">
        <f aca="false">IF(B99="","",IFERROR(INDEX('Câu hỏi'!$D$2:$D$21,MATCH(B99,'Câu hỏi'!$A$2:$A$21,0)),"Mã không có"))</f>
        <v/>
      </c>
      <c r="D99" s="10"/>
      <c r="E99" s="10"/>
      <c r="F99" s="10"/>
      <c r="G99" s="10"/>
      <c r="H99" s="10"/>
      <c r="I99" s="10"/>
      <c r="J99" s="10"/>
      <c r="K99" s="10"/>
      <c r="L99" s="10"/>
      <c r="M99" s="10"/>
    </row>
    <row r="100" customFormat="false" ht="15" hidden="false" customHeight="false" outlineLevel="0" collapsed="false">
      <c r="A100" s="9"/>
      <c r="B100" s="10"/>
      <c r="C100" s="11" t="str">
        <f aca="false">IF(B100="","",IFERROR(INDEX('Câu hỏi'!$D$2:$D$21,MATCH(B100,'Câu hỏi'!$A$2:$A$21,0)),"Mã không có"))</f>
        <v/>
      </c>
      <c r="D100" s="10"/>
      <c r="E100" s="10"/>
      <c r="F100" s="10"/>
      <c r="G100" s="10"/>
      <c r="H100" s="10"/>
      <c r="I100" s="10"/>
      <c r="J100" s="10"/>
      <c r="K100" s="10"/>
      <c r="L100" s="10"/>
      <c r="M100" s="10"/>
    </row>
    <row r="101" customFormat="false" ht="15" hidden="false" customHeight="false" outlineLevel="0" collapsed="false">
      <c r="A101" s="9"/>
      <c r="B101" s="10"/>
      <c r="C101" s="11" t="str">
        <f aca="false">IF(B101="","",IFERROR(INDEX('Câu hỏi'!$D$2:$D$21,MATCH(B101,'Câu hỏi'!$A$2:$A$21,0)),"Mã không có"))</f>
        <v/>
      </c>
      <c r="D101" s="10"/>
      <c r="E101" s="10"/>
      <c r="F101" s="10"/>
      <c r="G101" s="10"/>
      <c r="H101" s="10"/>
      <c r="I101" s="10"/>
      <c r="J101" s="10"/>
      <c r="K101" s="10"/>
      <c r="L101" s="10"/>
      <c r="M101" s="10"/>
    </row>
    <row r="102" customFormat="false" ht="15" hidden="false" customHeight="false" outlineLevel="0" collapsed="false">
      <c r="A102" s="9"/>
      <c r="B102" s="10"/>
      <c r="C102" s="11" t="str">
        <f aca="false">IF(B102="","",IFERROR(INDEX('Câu hỏi'!$D$2:$D$21,MATCH(B102,'Câu hỏi'!$A$2:$A$21,0)),"Mã không có"))</f>
        <v/>
      </c>
      <c r="D102" s="10"/>
      <c r="E102" s="10"/>
      <c r="F102" s="10"/>
      <c r="G102" s="10"/>
      <c r="H102" s="10"/>
      <c r="I102" s="10"/>
      <c r="J102" s="10"/>
      <c r="K102" s="10"/>
      <c r="L102" s="10"/>
      <c r="M102" s="10"/>
    </row>
    <row r="103" customFormat="false" ht="15" hidden="false" customHeight="false" outlineLevel="0" collapsed="false">
      <c r="A103" s="9"/>
      <c r="B103" s="10"/>
      <c r="C103" s="11" t="str">
        <f aca="false">IF(B103="","",IFERROR(INDEX('Câu hỏi'!$D$2:$D$21,MATCH(B103,'Câu hỏi'!$A$2:$A$21,0)),"Mã không có"))</f>
        <v/>
      </c>
      <c r="D103" s="10"/>
      <c r="E103" s="10"/>
      <c r="F103" s="10"/>
      <c r="G103" s="10"/>
      <c r="H103" s="10"/>
      <c r="I103" s="10"/>
      <c r="J103" s="10"/>
      <c r="K103" s="10"/>
      <c r="L103" s="10"/>
      <c r="M103" s="10"/>
    </row>
    <row r="104" customFormat="false" ht="15" hidden="false" customHeight="false" outlineLevel="0" collapsed="false">
      <c r="A104" s="9"/>
      <c r="B104" s="10"/>
      <c r="C104" s="11" t="str">
        <f aca="false">IF(B104="","",IFERROR(INDEX('Câu hỏi'!$D$2:$D$21,MATCH(B104,'Câu hỏi'!$A$2:$A$21,0)),"Mã không có"))</f>
        <v/>
      </c>
      <c r="D104" s="10"/>
      <c r="E104" s="10"/>
      <c r="F104" s="10"/>
      <c r="G104" s="10"/>
      <c r="H104" s="10"/>
      <c r="I104" s="10"/>
      <c r="J104" s="10"/>
      <c r="K104" s="10"/>
      <c r="L104" s="10"/>
      <c r="M104" s="10"/>
    </row>
    <row r="105" customFormat="false" ht="15" hidden="false" customHeight="false" outlineLevel="0" collapsed="false">
      <c r="A105" s="9"/>
      <c r="B105" s="10"/>
      <c r="C105" s="11" t="str">
        <f aca="false">IF(B105="","",IFERROR(INDEX('Câu hỏi'!$D$2:$D$21,MATCH(B105,'Câu hỏi'!$A$2:$A$21,0)),"Mã không có"))</f>
        <v/>
      </c>
      <c r="D105" s="10"/>
      <c r="E105" s="10"/>
      <c r="F105" s="10"/>
      <c r="G105" s="10"/>
      <c r="H105" s="10"/>
      <c r="I105" s="10"/>
      <c r="J105" s="10"/>
      <c r="K105" s="10"/>
      <c r="L105" s="10"/>
      <c r="M105" s="10"/>
    </row>
    <row r="106" customFormat="false" ht="15" hidden="false" customHeight="false" outlineLevel="0" collapsed="false">
      <c r="A106" s="9"/>
      <c r="B106" s="10"/>
      <c r="C106" s="11" t="str">
        <f aca="false">IF(B106="","",IFERROR(INDEX('Câu hỏi'!$D$2:$D$21,MATCH(B106,'Câu hỏi'!$A$2:$A$21,0)),"Mã không có"))</f>
        <v/>
      </c>
      <c r="D106" s="10"/>
      <c r="E106" s="10"/>
      <c r="F106" s="10"/>
      <c r="G106" s="10"/>
      <c r="H106" s="10"/>
      <c r="I106" s="10"/>
      <c r="J106" s="10"/>
      <c r="K106" s="10"/>
      <c r="L106" s="10"/>
      <c r="M106" s="10"/>
    </row>
    <row r="107" customFormat="false" ht="15" hidden="false" customHeight="false" outlineLevel="0" collapsed="false">
      <c r="A107" s="9"/>
      <c r="B107" s="10"/>
      <c r="C107" s="11" t="str">
        <f aca="false">IF(B107="","",IFERROR(INDEX('Câu hỏi'!$D$2:$D$21,MATCH(B107,'Câu hỏi'!$A$2:$A$21,0)),"Mã không có"))</f>
        <v/>
      </c>
      <c r="D107" s="10"/>
      <c r="E107" s="10"/>
      <c r="F107" s="10"/>
      <c r="G107" s="10"/>
      <c r="H107" s="10"/>
      <c r="I107" s="10"/>
      <c r="J107" s="10"/>
      <c r="K107" s="10"/>
      <c r="L107" s="10"/>
      <c r="M107" s="10"/>
    </row>
    <row r="108" customFormat="false" ht="15" hidden="false" customHeight="false" outlineLevel="0" collapsed="false">
      <c r="A108" s="9"/>
      <c r="B108" s="10"/>
      <c r="C108" s="11" t="str">
        <f aca="false">IF(B108="","",IFERROR(INDEX('Câu hỏi'!$D$2:$D$21,MATCH(B108,'Câu hỏi'!$A$2:$A$21,0)),"Mã không có"))</f>
        <v/>
      </c>
      <c r="D108" s="10"/>
      <c r="E108" s="10"/>
      <c r="F108" s="10"/>
      <c r="G108" s="10"/>
      <c r="H108" s="10"/>
      <c r="I108" s="10"/>
      <c r="J108" s="10"/>
      <c r="K108" s="10"/>
      <c r="L108" s="10"/>
      <c r="M108" s="10"/>
    </row>
    <row r="109" customFormat="false" ht="15" hidden="false" customHeight="false" outlineLevel="0" collapsed="false">
      <c r="A109" s="9"/>
      <c r="B109" s="10"/>
      <c r="C109" s="11" t="str">
        <f aca="false">IF(B109="","",IFERROR(INDEX('Câu hỏi'!$D$2:$D$21,MATCH(B109,'Câu hỏi'!$A$2:$A$21,0)),"Mã không có"))</f>
        <v/>
      </c>
      <c r="D109" s="10"/>
      <c r="E109" s="10"/>
      <c r="F109" s="10"/>
      <c r="G109" s="10"/>
      <c r="H109" s="10"/>
      <c r="I109" s="10"/>
      <c r="J109" s="10"/>
      <c r="K109" s="10"/>
      <c r="L109" s="10"/>
      <c r="M109" s="10"/>
    </row>
    <row r="110" customFormat="false" ht="15" hidden="false" customHeight="false" outlineLevel="0" collapsed="false">
      <c r="A110" s="9"/>
      <c r="B110" s="10"/>
      <c r="C110" s="11" t="str">
        <f aca="false">IF(B110="","",IFERROR(INDEX('Câu hỏi'!$D$2:$D$21,MATCH(B110,'Câu hỏi'!$A$2:$A$21,0)),"Mã không có"))</f>
        <v/>
      </c>
      <c r="D110" s="10"/>
      <c r="E110" s="10"/>
      <c r="F110" s="10"/>
      <c r="G110" s="10"/>
      <c r="H110" s="10"/>
      <c r="I110" s="10"/>
      <c r="J110" s="10"/>
      <c r="K110" s="10"/>
      <c r="L110" s="10"/>
      <c r="M110" s="10"/>
    </row>
    <row r="111" customFormat="false" ht="15" hidden="false" customHeight="false" outlineLevel="0" collapsed="false">
      <c r="A111" s="9"/>
      <c r="B111" s="10"/>
      <c r="C111" s="11" t="str">
        <f aca="false">IF(B111="","",IFERROR(INDEX('Câu hỏi'!$D$2:$D$21,MATCH(B111,'Câu hỏi'!$A$2:$A$21,0)),"Mã không có"))</f>
        <v/>
      </c>
      <c r="D111" s="10"/>
      <c r="E111" s="10"/>
      <c r="F111" s="10"/>
      <c r="G111" s="10"/>
      <c r="H111" s="10"/>
      <c r="I111" s="10"/>
      <c r="J111" s="10"/>
      <c r="K111" s="10"/>
      <c r="L111" s="10"/>
      <c r="M111" s="10"/>
    </row>
    <row r="112" customFormat="false" ht="15" hidden="false" customHeight="false" outlineLevel="0" collapsed="false">
      <c r="A112" s="9"/>
      <c r="B112" s="10"/>
      <c r="C112" s="11" t="str">
        <f aca="false">IF(B112="","",IFERROR(INDEX('Câu hỏi'!$D$2:$D$21,MATCH(B112,'Câu hỏi'!$A$2:$A$21,0)),"Mã không có"))</f>
        <v/>
      </c>
      <c r="D112" s="10"/>
      <c r="E112" s="10"/>
      <c r="F112" s="10"/>
      <c r="G112" s="10"/>
      <c r="H112" s="10"/>
      <c r="I112" s="10"/>
      <c r="J112" s="10"/>
      <c r="K112" s="10"/>
      <c r="L112" s="10"/>
      <c r="M112" s="10"/>
    </row>
    <row r="113" customFormat="false" ht="15" hidden="false" customHeight="false" outlineLevel="0" collapsed="false">
      <c r="A113" s="9"/>
      <c r="B113" s="10"/>
      <c r="C113" s="11" t="str">
        <f aca="false">IF(B113="","",IFERROR(INDEX('Câu hỏi'!$D$2:$D$21,MATCH(B113,'Câu hỏi'!$A$2:$A$21,0)),"Mã không có"))</f>
        <v/>
      </c>
      <c r="D113" s="10"/>
      <c r="E113" s="10"/>
      <c r="F113" s="10"/>
      <c r="G113" s="10"/>
      <c r="H113" s="10"/>
      <c r="I113" s="10"/>
      <c r="J113" s="10"/>
      <c r="K113" s="10"/>
      <c r="L113" s="10"/>
      <c r="M113" s="10"/>
    </row>
    <row r="114" customFormat="false" ht="15" hidden="false" customHeight="false" outlineLevel="0" collapsed="false">
      <c r="A114" s="9"/>
      <c r="B114" s="10"/>
      <c r="C114" s="11" t="str">
        <f aca="false">IF(B114="","",IFERROR(INDEX('Câu hỏi'!$D$2:$D$21,MATCH(B114,'Câu hỏi'!$A$2:$A$21,0)),"Mã không có"))</f>
        <v/>
      </c>
      <c r="D114" s="10"/>
      <c r="E114" s="10"/>
      <c r="F114" s="10"/>
      <c r="G114" s="10"/>
      <c r="H114" s="10"/>
      <c r="I114" s="10"/>
      <c r="J114" s="10"/>
      <c r="K114" s="10"/>
      <c r="L114" s="10"/>
      <c r="M114" s="10"/>
    </row>
    <row r="115" customFormat="false" ht="15" hidden="false" customHeight="false" outlineLevel="0" collapsed="false">
      <c r="A115" s="9"/>
      <c r="B115" s="10"/>
      <c r="C115" s="11" t="str">
        <f aca="false">IF(B115="","",IFERROR(INDEX('Câu hỏi'!$D$2:$D$21,MATCH(B115,'Câu hỏi'!$A$2:$A$21,0)),"Mã không có"))</f>
        <v/>
      </c>
      <c r="D115" s="10"/>
      <c r="E115" s="10"/>
      <c r="F115" s="10"/>
      <c r="G115" s="10"/>
      <c r="H115" s="10"/>
      <c r="I115" s="10"/>
      <c r="J115" s="10"/>
      <c r="K115" s="10"/>
      <c r="L115" s="10"/>
      <c r="M115" s="10"/>
    </row>
    <row r="116" customFormat="false" ht="15" hidden="false" customHeight="false" outlineLevel="0" collapsed="false">
      <c r="A116" s="9"/>
      <c r="B116" s="10"/>
      <c r="C116" s="11" t="str">
        <f aca="false">IF(B116="","",IFERROR(INDEX('Câu hỏi'!$D$2:$D$21,MATCH(B116,'Câu hỏi'!$A$2:$A$21,0)),"Mã không có"))</f>
        <v/>
      </c>
      <c r="D116" s="10"/>
      <c r="E116" s="10"/>
      <c r="F116" s="10"/>
      <c r="G116" s="10"/>
      <c r="H116" s="10"/>
      <c r="I116" s="10"/>
      <c r="J116" s="10"/>
      <c r="K116" s="10"/>
      <c r="L116" s="10"/>
      <c r="M116" s="10"/>
    </row>
    <row r="117" customFormat="false" ht="15" hidden="false" customHeight="false" outlineLevel="0" collapsed="false">
      <c r="A117" s="9"/>
      <c r="B117" s="10"/>
      <c r="C117" s="11" t="str">
        <f aca="false">IF(B117="","",IFERROR(INDEX('Câu hỏi'!$D$2:$D$21,MATCH(B117,'Câu hỏi'!$A$2:$A$21,0)),"Mã không có"))</f>
        <v/>
      </c>
      <c r="D117" s="10"/>
      <c r="E117" s="10"/>
      <c r="F117" s="10"/>
      <c r="G117" s="10"/>
      <c r="H117" s="10"/>
      <c r="I117" s="10"/>
      <c r="J117" s="10"/>
      <c r="K117" s="10"/>
      <c r="L117" s="10"/>
      <c r="M117" s="10"/>
    </row>
    <row r="118" customFormat="false" ht="15" hidden="false" customHeight="false" outlineLevel="0" collapsed="false">
      <c r="A118" s="9"/>
      <c r="B118" s="10"/>
      <c r="C118" s="11" t="str">
        <f aca="false">IF(B118="","",IFERROR(INDEX('Câu hỏi'!$D$2:$D$21,MATCH(B118,'Câu hỏi'!$A$2:$A$21,0)),"Mã không có"))</f>
        <v/>
      </c>
      <c r="D118" s="10"/>
      <c r="E118" s="10"/>
      <c r="F118" s="10"/>
      <c r="G118" s="10"/>
      <c r="H118" s="10"/>
      <c r="I118" s="10"/>
      <c r="J118" s="10"/>
      <c r="K118" s="10"/>
      <c r="L118" s="10"/>
      <c r="M118" s="10"/>
    </row>
    <row r="119" customFormat="false" ht="15" hidden="false" customHeight="false" outlineLevel="0" collapsed="false">
      <c r="A119" s="9"/>
      <c r="B119" s="10"/>
      <c r="C119" s="11" t="str">
        <f aca="false">IF(B119="","",IFERROR(INDEX('Câu hỏi'!$D$2:$D$21,MATCH(B119,'Câu hỏi'!$A$2:$A$21,0)),"Mã không có"))</f>
        <v/>
      </c>
      <c r="D119" s="10"/>
      <c r="E119" s="10"/>
      <c r="F119" s="10"/>
      <c r="G119" s="10"/>
      <c r="H119" s="10"/>
      <c r="I119" s="10"/>
      <c r="J119" s="10"/>
      <c r="K119" s="10"/>
      <c r="L119" s="10"/>
      <c r="M119" s="10"/>
    </row>
    <row r="120" customFormat="false" ht="15" hidden="false" customHeight="false" outlineLevel="0" collapsed="false">
      <c r="A120" s="9"/>
      <c r="B120" s="10"/>
      <c r="C120" s="11" t="str">
        <f aca="false">IF(B120="","",IFERROR(INDEX('Câu hỏi'!$D$2:$D$21,MATCH(B120,'Câu hỏi'!$A$2:$A$21,0)),"Mã không có"))</f>
        <v/>
      </c>
      <c r="D120" s="10"/>
      <c r="E120" s="10"/>
      <c r="F120" s="10"/>
      <c r="G120" s="10"/>
      <c r="H120" s="10"/>
      <c r="I120" s="10"/>
      <c r="J120" s="10"/>
      <c r="K120" s="10"/>
      <c r="L120" s="10"/>
      <c r="M120" s="10"/>
    </row>
    <row r="121" customFormat="false" ht="15" hidden="false" customHeight="false" outlineLevel="0" collapsed="false">
      <c r="A121" s="9"/>
      <c r="B121" s="10"/>
      <c r="C121" s="11" t="str">
        <f aca="false">IF(B121="","",IFERROR(INDEX('Câu hỏi'!$D$2:$D$21,MATCH(B121,'Câu hỏi'!$A$2:$A$21,0)),"Mã không có"))</f>
        <v/>
      </c>
      <c r="D121" s="10"/>
      <c r="E121" s="10"/>
      <c r="F121" s="10"/>
      <c r="G121" s="10"/>
      <c r="H121" s="10"/>
      <c r="I121" s="10"/>
      <c r="J121" s="10"/>
      <c r="K121" s="10"/>
      <c r="L121" s="10"/>
      <c r="M121" s="10"/>
    </row>
    <row r="122" customFormat="false" ht="15" hidden="false" customHeight="false" outlineLevel="0" collapsed="false">
      <c r="A122" s="9"/>
      <c r="B122" s="10"/>
      <c r="C122" s="11" t="str">
        <f aca="false">IF(B122="","",IFERROR(INDEX('Câu hỏi'!$D$2:$D$21,MATCH(B122,'Câu hỏi'!$A$2:$A$21,0)),"Mã không có"))</f>
        <v/>
      </c>
      <c r="D122" s="10"/>
      <c r="E122" s="10"/>
      <c r="F122" s="10"/>
      <c r="G122" s="10"/>
      <c r="H122" s="10"/>
      <c r="I122" s="10"/>
      <c r="J122" s="10"/>
      <c r="K122" s="10"/>
      <c r="L122" s="10"/>
      <c r="M122" s="10"/>
    </row>
    <row r="123" customFormat="false" ht="15" hidden="false" customHeight="false" outlineLevel="0" collapsed="false">
      <c r="A123" s="9"/>
      <c r="B123" s="10"/>
      <c r="C123" s="11" t="str">
        <f aca="false">IF(B123="","",IFERROR(INDEX('Câu hỏi'!$D$2:$D$21,MATCH(B123,'Câu hỏi'!$A$2:$A$21,0)),"Mã không có"))</f>
        <v/>
      </c>
      <c r="D123" s="10"/>
      <c r="E123" s="10"/>
      <c r="F123" s="10"/>
      <c r="G123" s="10"/>
      <c r="H123" s="10"/>
      <c r="I123" s="10"/>
      <c r="J123" s="10"/>
      <c r="K123" s="10"/>
      <c r="L123" s="10"/>
      <c r="M123" s="10"/>
    </row>
    <row r="124" customFormat="false" ht="15" hidden="false" customHeight="false" outlineLevel="0" collapsed="false">
      <c r="A124" s="9"/>
      <c r="B124" s="10"/>
      <c r="C124" s="11" t="str">
        <f aca="false">IF(B124="","",IFERROR(INDEX('Câu hỏi'!$D$2:$D$21,MATCH(B124,'Câu hỏi'!$A$2:$A$21,0)),"Mã không có"))</f>
        <v/>
      </c>
      <c r="D124" s="10"/>
      <c r="E124" s="10"/>
      <c r="F124" s="10"/>
      <c r="G124" s="10"/>
      <c r="H124" s="10"/>
      <c r="I124" s="10"/>
      <c r="J124" s="10"/>
      <c r="K124" s="10"/>
      <c r="L124" s="10"/>
      <c r="M124" s="10"/>
    </row>
    <row r="125" customFormat="false" ht="15" hidden="false" customHeight="false" outlineLevel="0" collapsed="false">
      <c r="A125" s="9"/>
      <c r="B125" s="10"/>
      <c r="C125" s="11" t="str">
        <f aca="false">IF(B125="","",IFERROR(INDEX('Câu hỏi'!$D$2:$D$21,MATCH(B125,'Câu hỏi'!$A$2:$A$21,0)),"Mã không có"))</f>
        <v/>
      </c>
      <c r="D125" s="10"/>
      <c r="E125" s="10"/>
      <c r="F125" s="10"/>
      <c r="G125" s="10"/>
      <c r="H125" s="10"/>
      <c r="I125" s="10"/>
      <c r="J125" s="10"/>
      <c r="K125" s="10"/>
      <c r="L125" s="10"/>
      <c r="M125" s="10"/>
    </row>
    <row r="126" customFormat="false" ht="15" hidden="false" customHeight="false" outlineLevel="0" collapsed="false">
      <c r="A126" s="9"/>
      <c r="B126" s="10"/>
      <c r="C126" s="11" t="str">
        <f aca="false">IF(B126="","",IFERROR(INDEX('Câu hỏi'!$D$2:$D$21,MATCH(B126,'Câu hỏi'!$A$2:$A$21,0)),"Mã không có"))</f>
        <v/>
      </c>
      <c r="D126" s="10"/>
      <c r="E126" s="10"/>
      <c r="F126" s="10"/>
      <c r="G126" s="10"/>
      <c r="H126" s="10"/>
      <c r="I126" s="10"/>
      <c r="J126" s="10"/>
      <c r="K126" s="10"/>
      <c r="L126" s="10"/>
      <c r="M126" s="10"/>
    </row>
    <row r="127" customFormat="false" ht="15" hidden="false" customHeight="false" outlineLevel="0" collapsed="false">
      <c r="A127" s="9"/>
      <c r="B127" s="10"/>
      <c r="C127" s="11" t="str">
        <f aca="false">IF(B127="","",IFERROR(INDEX('Câu hỏi'!$D$2:$D$21,MATCH(B127,'Câu hỏi'!$A$2:$A$21,0)),"Mã không có"))</f>
        <v/>
      </c>
      <c r="D127" s="10"/>
      <c r="E127" s="10"/>
      <c r="F127" s="10"/>
      <c r="G127" s="10"/>
      <c r="H127" s="10"/>
      <c r="I127" s="10"/>
      <c r="J127" s="10"/>
      <c r="K127" s="10"/>
      <c r="L127" s="10"/>
      <c r="M127" s="10"/>
    </row>
    <row r="128" customFormat="false" ht="15" hidden="false" customHeight="false" outlineLevel="0" collapsed="false">
      <c r="A128" s="9"/>
      <c r="B128" s="10"/>
      <c r="C128" s="11" t="str">
        <f aca="false">IF(B128="","",IFERROR(INDEX('Câu hỏi'!$D$2:$D$21,MATCH(B128,'Câu hỏi'!$A$2:$A$21,0)),"Mã không có"))</f>
        <v/>
      </c>
      <c r="D128" s="10"/>
      <c r="E128" s="10"/>
      <c r="F128" s="10"/>
      <c r="G128" s="10"/>
      <c r="H128" s="10"/>
      <c r="I128" s="10"/>
      <c r="J128" s="10"/>
      <c r="K128" s="10"/>
      <c r="L128" s="10"/>
      <c r="M128" s="10"/>
    </row>
    <row r="129" customFormat="false" ht="15" hidden="false" customHeight="false" outlineLevel="0" collapsed="false">
      <c r="A129" s="9"/>
      <c r="B129" s="10"/>
      <c r="C129" s="11" t="str">
        <f aca="false">IF(B129="","",IFERROR(INDEX('Câu hỏi'!$D$2:$D$21,MATCH(B129,'Câu hỏi'!$A$2:$A$21,0)),"Mã không có"))</f>
        <v/>
      </c>
      <c r="D129" s="10"/>
      <c r="E129" s="10"/>
      <c r="F129" s="10"/>
      <c r="G129" s="10"/>
      <c r="H129" s="10"/>
      <c r="I129" s="10"/>
      <c r="J129" s="10"/>
      <c r="K129" s="10"/>
      <c r="L129" s="10"/>
      <c r="M129" s="10"/>
    </row>
    <row r="130" customFormat="false" ht="15" hidden="false" customHeight="false" outlineLevel="0" collapsed="false">
      <c r="A130" s="9"/>
      <c r="B130" s="10"/>
      <c r="C130" s="11" t="str">
        <f aca="false">IF(B130="","",IFERROR(INDEX('Câu hỏi'!$D$2:$D$21,MATCH(B130,'Câu hỏi'!$A$2:$A$21,0)),"Mã không có"))</f>
        <v/>
      </c>
      <c r="D130" s="10"/>
      <c r="E130" s="10"/>
      <c r="F130" s="10"/>
      <c r="G130" s="10"/>
      <c r="H130" s="10"/>
      <c r="I130" s="10"/>
      <c r="J130" s="10"/>
      <c r="K130" s="10"/>
      <c r="L130" s="10"/>
      <c r="M130" s="10"/>
    </row>
    <row r="131" customFormat="false" ht="15" hidden="false" customHeight="false" outlineLevel="0" collapsed="false">
      <c r="A131" s="9"/>
      <c r="B131" s="10"/>
      <c r="C131" s="11" t="str">
        <f aca="false">IF(B131="","",IFERROR(INDEX('Câu hỏi'!$D$2:$D$21,MATCH(B131,'Câu hỏi'!$A$2:$A$21,0)),"Mã không có"))</f>
        <v/>
      </c>
      <c r="D131" s="10"/>
      <c r="E131" s="10"/>
      <c r="F131" s="10"/>
      <c r="G131" s="10"/>
      <c r="H131" s="10"/>
      <c r="I131" s="10"/>
      <c r="J131" s="10"/>
      <c r="K131" s="10"/>
      <c r="L131" s="10"/>
      <c r="M131" s="10"/>
    </row>
    <row r="132" customFormat="false" ht="15" hidden="false" customHeight="false" outlineLevel="0" collapsed="false">
      <c r="A132" s="9"/>
      <c r="B132" s="10"/>
      <c r="C132" s="11" t="str">
        <f aca="false">IF(B132="","",IFERROR(INDEX('Câu hỏi'!$D$2:$D$21,MATCH(B132,'Câu hỏi'!$A$2:$A$21,0)),"Mã không có"))</f>
        <v/>
      </c>
      <c r="D132" s="10"/>
      <c r="E132" s="10"/>
      <c r="F132" s="10"/>
      <c r="G132" s="10"/>
      <c r="H132" s="10"/>
      <c r="I132" s="10"/>
      <c r="J132" s="10"/>
      <c r="K132" s="10"/>
      <c r="L132" s="10"/>
      <c r="M132" s="10"/>
    </row>
    <row r="133" customFormat="false" ht="15" hidden="false" customHeight="false" outlineLevel="0" collapsed="false">
      <c r="A133" s="9"/>
      <c r="B133" s="10"/>
      <c r="C133" s="11" t="str">
        <f aca="false">IF(B133="","",IFERROR(INDEX('Câu hỏi'!$D$2:$D$21,MATCH(B133,'Câu hỏi'!$A$2:$A$21,0)),"Mã không có"))</f>
        <v/>
      </c>
      <c r="D133" s="10"/>
      <c r="E133" s="10"/>
      <c r="F133" s="10"/>
      <c r="G133" s="10"/>
      <c r="H133" s="10"/>
      <c r="I133" s="10"/>
      <c r="J133" s="10"/>
      <c r="K133" s="10"/>
      <c r="L133" s="10"/>
      <c r="M133" s="10"/>
    </row>
    <row r="134" customFormat="false" ht="15" hidden="false" customHeight="false" outlineLevel="0" collapsed="false">
      <c r="A134" s="9"/>
      <c r="B134" s="10"/>
      <c r="C134" s="11" t="str">
        <f aca="false">IF(B134="","",IFERROR(INDEX('Câu hỏi'!$D$2:$D$21,MATCH(B134,'Câu hỏi'!$A$2:$A$21,0)),"Mã không có"))</f>
        <v/>
      </c>
      <c r="D134" s="10"/>
      <c r="E134" s="10"/>
      <c r="F134" s="10"/>
      <c r="G134" s="10"/>
      <c r="H134" s="10"/>
      <c r="I134" s="10"/>
      <c r="J134" s="10"/>
      <c r="K134" s="10"/>
      <c r="L134" s="10"/>
      <c r="M134" s="10"/>
    </row>
    <row r="135" customFormat="false" ht="15" hidden="false" customHeight="false" outlineLevel="0" collapsed="false">
      <c r="A135" s="9"/>
      <c r="B135" s="10"/>
      <c r="C135" s="11" t="str">
        <f aca="false">IF(B135="","",IFERROR(INDEX('Câu hỏi'!$D$2:$D$21,MATCH(B135,'Câu hỏi'!$A$2:$A$21,0)),"Mã không có"))</f>
        <v/>
      </c>
      <c r="D135" s="10"/>
      <c r="E135" s="10"/>
      <c r="F135" s="10"/>
      <c r="G135" s="10"/>
      <c r="H135" s="10"/>
      <c r="I135" s="10"/>
      <c r="J135" s="10"/>
      <c r="K135" s="10"/>
      <c r="L135" s="10"/>
      <c r="M135" s="10"/>
    </row>
    <row r="136" customFormat="false" ht="15" hidden="false" customHeight="false" outlineLevel="0" collapsed="false">
      <c r="A136" s="9"/>
      <c r="B136" s="10"/>
      <c r="C136" s="11" t="str">
        <f aca="false">IF(B136="","",IFERROR(INDEX('Câu hỏi'!$D$2:$D$21,MATCH(B136,'Câu hỏi'!$A$2:$A$21,0)),"Mã không có"))</f>
        <v/>
      </c>
      <c r="D136" s="10"/>
      <c r="E136" s="10"/>
      <c r="F136" s="10"/>
      <c r="G136" s="10"/>
      <c r="H136" s="10"/>
      <c r="I136" s="10"/>
      <c r="J136" s="10"/>
      <c r="K136" s="10"/>
      <c r="L136" s="10"/>
      <c r="M136" s="10"/>
    </row>
    <row r="137" customFormat="false" ht="15" hidden="false" customHeight="false" outlineLevel="0" collapsed="false">
      <c r="A137" s="9"/>
      <c r="B137" s="10"/>
      <c r="C137" s="11" t="str">
        <f aca="false">IF(B137="","",IFERROR(INDEX('Câu hỏi'!$D$2:$D$21,MATCH(B137,'Câu hỏi'!$A$2:$A$21,0)),"Mã không có"))</f>
        <v/>
      </c>
      <c r="D137" s="10"/>
      <c r="E137" s="10"/>
      <c r="F137" s="10"/>
      <c r="G137" s="10"/>
      <c r="H137" s="10"/>
      <c r="I137" s="10"/>
      <c r="J137" s="10"/>
      <c r="K137" s="10"/>
      <c r="L137" s="10"/>
      <c r="M137" s="10"/>
    </row>
    <row r="138" customFormat="false" ht="15" hidden="false" customHeight="false" outlineLevel="0" collapsed="false">
      <c r="A138" s="9"/>
      <c r="B138" s="10"/>
      <c r="C138" s="11" t="str">
        <f aca="false">IF(B138="","",IFERROR(INDEX('Câu hỏi'!$D$2:$D$21,MATCH(B138,'Câu hỏi'!$A$2:$A$21,0)),"Mã không có"))</f>
        <v/>
      </c>
      <c r="D138" s="10"/>
      <c r="E138" s="10"/>
      <c r="F138" s="10"/>
      <c r="G138" s="10"/>
      <c r="H138" s="10"/>
      <c r="I138" s="10"/>
      <c r="J138" s="10"/>
      <c r="K138" s="10"/>
      <c r="L138" s="10"/>
      <c r="M138" s="10"/>
    </row>
    <row r="139" customFormat="false" ht="15" hidden="false" customHeight="false" outlineLevel="0" collapsed="false">
      <c r="A139" s="9"/>
      <c r="B139" s="10"/>
      <c r="C139" s="11" t="str">
        <f aca="false">IF(B139="","",IFERROR(INDEX('Câu hỏi'!$D$2:$D$21,MATCH(B139,'Câu hỏi'!$A$2:$A$21,0)),"Mã không có"))</f>
        <v/>
      </c>
      <c r="D139" s="10"/>
      <c r="E139" s="10"/>
      <c r="F139" s="10"/>
      <c r="G139" s="10"/>
      <c r="H139" s="10"/>
      <c r="I139" s="10"/>
      <c r="J139" s="10"/>
      <c r="K139" s="10"/>
      <c r="L139" s="10"/>
      <c r="M139" s="10"/>
    </row>
    <row r="140" customFormat="false" ht="15" hidden="false" customHeight="false" outlineLevel="0" collapsed="false">
      <c r="A140" s="9"/>
      <c r="B140" s="10"/>
      <c r="C140" s="11" t="str">
        <f aca="false">IF(B140="","",IFERROR(INDEX('Câu hỏi'!$D$2:$D$21,MATCH(B140,'Câu hỏi'!$A$2:$A$21,0)),"Mã không có"))</f>
        <v/>
      </c>
      <c r="D140" s="10"/>
      <c r="E140" s="10"/>
      <c r="F140" s="10"/>
      <c r="G140" s="10"/>
      <c r="H140" s="10"/>
      <c r="I140" s="10"/>
      <c r="J140" s="10"/>
      <c r="K140" s="10"/>
      <c r="L140" s="10"/>
      <c r="M140" s="10"/>
    </row>
    <row r="141" customFormat="false" ht="15" hidden="false" customHeight="false" outlineLevel="0" collapsed="false">
      <c r="A141" s="9"/>
      <c r="B141" s="10"/>
      <c r="C141" s="11" t="str">
        <f aca="false">IF(B141="","",IFERROR(INDEX('Câu hỏi'!$D$2:$D$21,MATCH(B141,'Câu hỏi'!$A$2:$A$21,0)),"Mã không có"))</f>
        <v/>
      </c>
      <c r="D141" s="10"/>
      <c r="E141" s="10"/>
      <c r="F141" s="10"/>
      <c r="G141" s="10"/>
      <c r="H141" s="10"/>
      <c r="I141" s="10"/>
      <c r="J141" s="10"/>
      <c r="K141" s="10"/>
      <c r="L141" s="10"/>
      <c r="M141" s="10"/>
    </row>
    <row r="142" customFormat="false" ht="15" hidden="false" customHeight="false" outlineLevel="0" collapsed="false">
      <c r="A142" s="9"/>
      <c r="B142" s="10"/>
      <c r="C142" s="11" t="str">
        <f aca="false">IF(B142="","",IFERROR(INDEX('Câu hỏi'!$D$2:$D$21,MATCH(B142,'Câu hỏi'!$A$2:$A$21,0)),"Mã không có"))</f>
        <v/>
      </c>
      <c r="D142" s="10"/>
      <c r="E142" s="10"/>
      <c r="F142" s="10"/>
      <c r="G142" s="10"/>
      <c r="H142" s="10"/>
      <c r="I142" s="10"/>
      <c r="J142" s="10"/>
      <c r="K142" s="10"/>
      <c r="L142" s="10"/>
      <c r="M142" s="10"/>
    </row>
    <row r="143" customFormat="false" ht="15" hidden="false" customHeight="false" outlineLevel="0" collapsed="false">
      <c r="A143" s="9"/>
      <c r="B143" s="10"/>
      <c r="C143" s="11" t="str">
        <f aca="false">IF(B143="","",IFERROR(INDEX('Câu hỏi'!$D$2:$D$21,MATCH(B143,'Câu hỏi'!$A$2:$A$21,0)),"Mã không có"))</f>
        <v/>
      </c>
      <c r="D143" s="10"/>
      <c r="E143" s="10"/>
      <c r="F143" s="10"/>
      <c r="G143" s="10"/>
      <c r="H143" s="10"/>
      <c r="I143" s="10"/>
      <c r="J143" s="10"/>
      <c r="K143" s="10"/>
      <c r="L143" s="10"/>
      <c r="M143" s="10"/>
    </row>
    <row r="144" customFormat="false" ht="15" hidden="false" customHeight="false" outlineLevel="0" collapsed="false">
      <c r="A144" s="9"/>
      <c r="B144" s="10"/>
      <c r="C144" s="11" t="str">
        <f aca="false">IF(B144="","",IFERROR(INDEX('Câu hỏi'!$D$2:$D$21,MATCH(B144,'Câu hỏi'!$A$2:$A$21,0)),"Mã không có"))</f>
        <v/>
      </c>
      <c r="D144" s="10"/>
      <c r="E144" s="10"/>
      <c r="F144" s="10"/>
      <c r="G144" s="10"/>
      <c r="H144" s="10"/>
      <c r="I144" s="10"/>
      <c r="J144" s="10"/>
      <c r="K144" s="10"/>
      <c r="L144" s="10"/>
      <c r="M144" s="10"/>
    </row>
    <row r="145" customFormat="false" ht="15" hidden="false" customHeight="false" outlineLevel="0" collapsed="false">
      <c r="A145" s="9"/>
      <c r="B145" s="10"/>
      <c r="C145" s="11" t="str">
        <f aca="false">IF(B145="","",IFERROR(INDEX('Câu hỏi'!$D$2:$D$21,MATCH(B145,'Câu hỏi'!$A$2:$A$21,0)),"Mã không có"))</f>
        <v/>
      </c>
      <c r="D145" s="10"/>
      <c r="E145" s="10"/>
      <c r="F145" s="10"/>
      <c r="G145" s="10"/>
      <c r="H145" s="10"/>
      <c r="I145" s="10"/>
      <c r="J145" s="10"/>
      <c r="K145" s="10"/>
      <c r="L145" s="10"/>
      <c r="M145" s="10"/>
    </row>
    <row r="146" customFormat="false" ht="15" hidden="false" customHeight="false" outlineLevel="0" collapsed="false">
      <c r="A146" s="9"/>
      <c r="B146" s="10"/>
      <c r="C146" s="11" t="str">
        <f aca="false">IF(B146="","",IFERROR(INDEX('Câu hỏi'!$D$2:$D$21,MATCH(B146,'Câu hỏi'!$A$2:$A$21,0)),"Mã không có"))</f>
        <v/>
      </c>
      <c r="D146" s="10"/>
      <c r="E146" s="10"/>
      <c r="F146" s="10"/>
      <c r="G146" s="10"/>
      <c r="H146" s="10"/>
      <c r="I146" s="10"/>
      <c r="J146" s="10"/>
      <c r="K146" s="10"/>
      <c r="L146" s="10"/>
      <c r="M146" s="10"/>
    </row>
    <row r="147" customFormat="false" ht="15" hidden="false" customHeight="false" outlineLevel="0" collapsed="false">
      <c r="A147" s="9"/>
      <c r="B147" s="10"/>
      <c r="C147" s="11" t="str">
        <f aca="false">IF(B147="","",IFERROR(INDEX('Câu hỏi'!$D$2:$D$21,MATCH(B147,'Câu hỏi'!$A$2:$A$21,0)),"Mã không có"))</f>
        <v/>
      </c>
      <c r="D147" s="10"/>
      <c r="E147" s="10"/>
      <c r="F147" s="10"/>
      <c r="G147" s="10"/>
      <c r="H147" s="10"/>
      <c r="I147" s="10"/>
      <c r="J147" s="10"/>
      <c r="K147" s="10"/>
      <c r="L147" s="10"/>
      <c r="M147" s="10"/>
    </row>
    <row r="148" customFormat="false" ht="15" hidden="false" customHeight="false" outlineLevel="0" collapsed="false">
      <c r="A148" s="9"/>
      <c r="B148" s="10"/>
      <c r="C148" s="11" t="str">
        <f aca="false">IF(B148="","",IFERROR(INDEX('Câu hỏi'!$D$2:$D$21,MATCH(B148,'Câu hỏi'!$A$2:$A$21,0)),"Mã không có"))</f>
        <v/>
      </c>
      <c r="D148" s="10"/>
      <c r="E148" s="10"/>
      <c r="F148" s="10"/>
      <c r="G148" s="10"/>
      <c r="H148" s="10"/>
      <c r="I148" s="10"/>
      <c r="J148" s="10"/>
      <c r="K148" s="10"/>
      <c r="L148" s="10"/>
      <c r="M148" s="10"/>
    </row>
    <row r="149" customFormat="false" ht="15" hidden="false" customHeight="false" outlineLevel="0" collapsed="false">
      <c r="A149" s="9"/>
      <c r="B149" s="10"/>
      <c r="C149" s="11" t="str">
        <f aca="false">IF(B149="","",IFERROR(INDEX('Câu hỏi'!$D$2:$D$21,MATCH(B149,'Câu hỏi'!$A$2:$A$21,0)),"Mã không có"))</f>
        <v/>
      </c>
      <c r="D149" s="10"/>
      <c r="E149" s="10"/>
      <c r="F149" s="10"/>
      <c r="G149" s="10"/>
      <c r="H149" s="10"/>
      <c r="I149" s="10"/>
      <c r="J149" s="10"/>
      <c r="K149" s="10"/>
      <c r="L149" s="10"/>
      <c r="M149" s="10"/>
    </row>
    <row r="150" customFormat="false" ht="15" hidden="false" customHeight="false" outlineLevel="0" collapsed="false">
      <c r="A150" s="9"/>
      <c r="B150" s="10"/>
      <c r="C150" s="11" t="str">
        <f aca="false">IF(B150="","",IFERROR(INDEX('Câu hỏi'!$D$2:$D$21,MATCH(B150,'Câu hỏi'!$A$2:$A$21,0)),"Mã không có"))</f>
        <v/>
      </c>
      <c r="D150" s="10"/>
      <c r="E150" s="10"/>
      <c r="F150" s="10"/>
      <c r="G150" s="10"/>
      <c r="H150" s="10"/>
      <c r="I150" s="10"/>
      <c r="J150" s="10"/>
      <c r="K150" s="10"/>
      <c r="L150" s="10"/>
      <c r="M150" s="10"/>
    </row>
    <row r="151" customFormat="false" ht="15" hidden="false" customHeight="false" outlineLevel="0" collapsed="false">
      <c r="A151" s="9"/>
      <c r="B151" s="10"/>
      <c r="C151" s="11" t="str">
        <f aca="false">IF(B151="","",IFERROR(INDEX('Câu hỏi'!$D$2:$D$21,MATCH(B151,'Câu hỏi'!$A$2:$A$21,0)),"Mã không có"))</f>
        <v/>
      </c>
      <c r="D151" s="10"/>
      <c r="E151" s="10"/>
      <c r="F151" s="10"/>
      <c r="G151" s="10"/>
      <c r="H151" s="10"/>
      <c r="I151" s="10"/>
      <c r="J151" s="10"/>
      <c r="K151" s="10"/>
      <c r="L151" s="10"/>
      <c r="M151" s="10"/>
    </row>
    <row r="152" customFormat="false" ht="15" hidden="false" customHeight="false" outlineLevel="0" collapsed="false">
      <c r="A152" s="9"/>
      <c r="B152" s="10"/>
      <c r="C152" s="11" t="str">
        <f aca="false">IF(B152="","",IFERROR(INDEX('Câu hỏi'!$D$2:$D$21,MATCH(B152,'Câu hỏi'!$A$2:$A$21,0)),"Mã không có"))</f>
        <v/>
      </c>
      <c r="D152" s="10"/>
      <c r="E152" s="10"/>
      <c r="F152" s="10"/>
      <c r="G152" s="10"/>
      <c r="H152" s="10"/>
      <c r="I152" s="10"/>
      <c r="J152" s="10"/>
      <c r="K152" s="10"/>
      <c r="L152" s="10"/>
      <c r="M152" s="10"/>
    </row>
    <row r="153" customFormat="false" ht="15" hidden="false" customHeight="false" outlineLevel="0" collapsed="false">
      <c r="A153" s="9"/>
      <c r="B153" s="10"/>
      <c r="C153" s="11" t="str">
        <f aca="false">IF(B153="","",IFERROR(INDEX('Câu hỏi'!$D$2:$D$21,MATCH(B153,'Câu hỏi'!$A$2:$A$21,0)),"Mã không có"))</f>
        <v/>
      </c>
      <c r="D153" s="10"/>
      <c r="E153" s="10"/>
      <c r="F153" s="10"/>
      <c r="G153" s="10"/>
      <c r="H153" s="10"/>
      <c r="I153" s="10"/>
      <c r="J153" s="10"/>
      <c r="K153" s="10"/>
      <c r="L153" s="10"/>
      <c r="M153" s="10"/>
    </row>
    <row r="154" customFormat="false" ht="15" hidden="false" customHeight="false" outlineLevel="0" collapsed="false">
      <c r="A154" s="9"/>
      <c r="B154" s="10"/>
      <c r="C154" s="11" t="str">
        <f aca="false">IF(B154="","",IFERROR(INDEX('Câu hỏi'!$D$2:$D$21,MATCH(B154,'Câu hỏi'!$A$2:$A$21,0)),"Mã không có"))</f>
        <v/>
      </c>
      <c r="D154" s="10"/>
      <c r="E154" s="10"/>
      <c r="F154" s="10"/>
      <c r="G154" s="10"/>
      <c r="H154" s="10"/>
      <c r="I154" s="10"/>
      <c r="J154" s="10"/>
      <c r="K154" s="10"/>
      <c r="L154" s="10"/>
      <c r="M154" s="10"/>
    </row>
    <row r="155" customFormat="false" ht="15" hidden="false" customHeight="false" outlineLevel="0" collapsed="false">
      <c r="A155" s="9"/>
      <c r="B155" s="10"/>
      <c r="C155" s="11" t="str">
        <f aca="false">IF(B155="","",IFERROR(INDEX('Câu hỏi'!$D$2:$D$21,MATCH(B155,'Câu hỏi'!$A$2:$A$21,0)),"Mã không có"))</f>
        <v/>
      </c>
      <c r="D155" s="10"/>
      <c r="E155" s="10"/>
      <c r="F155" s="10"/>
      <c r="G155" s="10"/>
      <c r="H155" s="10"/>
      <c r="I155" s="10"/>
      <c r="J155" s="10"/>
      <c r="K155" s="10"/>
      <c r="L155" s="10"/>
      <c r="M155" s="10"/>
    </row>
    <row r="156" customFormat="false" ht="15" hidden="false" customHeight="false" outlineLevel="0" collapsed="false">
      <c r="A156" s="9"/>
      <c r="B156" s="10"/>
      <c r="C156" s="11" t="str">
        <f aca="false">IF(B156="","",IFERROR(INDEX('Câu hỏi'!$D$2:$D$21,MATCH(B156,'Câu hỏi'!$A$2:$A$21,0)),"Mã không có"))</f>
        <v/>
      </c>
      <c r="D156" s="10"/>
      <c r="E156" s="10"/>
      <c r="F156" s="10"/>
      <c r="G156" s="10"/>
      <c r="H156" s="10"/>
      <c r="I156" s="10"/>
      <c r="J156" s="10"/>
      <c r="K156" s="10"/>
      <c r="L156" s="10"/>
      <c r="M156" s="10"/>
    </row>
    <row r="157" customFormat="false" ht="15" hidden="false" customHeight="false" outlineLevel="0" collapsed="false">
      <c r="A157" s="9"/>
      <c r="B157" s="10"/>
      <c r="C157" s="11" t="str">
        <f aca="false">IF(B157="","",IFERROR(INDEX('Câu hỏi'!$D$2:$D$21,MATCH(B157,'Câu hỏi'!$A$2:$A$21,0)),"Mã không có"))</f>
        <v/>
      </c>
      <c r="D157" s="10"/>
      <c r="E157" s="10"/>
      <c r="F157" s="10"/>
      <c r="G157" s="10"/>
      <c r="H157" s="10"/>
      <c r="I157" s="10"/>
      <c r="J157" s="10"/>
      <c r="K157" s="10"/>
      <c r="L157" s="10"/>
      <c r="M157" s="10"/>
    </row>
    <row r="158" customFormat="false" ht="15" hidden="false" customHeight="false" outlineLevel="0" collapsed="false">
      <c r="A158" s="9"/>
      <c r="B158" s="10"/>
      <c r="C158" s="11" t="str">
        <f aca="false">IF(B158="","",IFERROR(INDEX('Câu hỏi'!$D$2:$D$21,MATCH(B158,'Câu hỏi'!$A$2:$A$21,0)),"Mã không có"))</f>
        <v/>
      </c>
      <c r="D158" s="10"/>
      <c r="E158" s="10"/>
      <c r="F158" s="10"/>
      <c r="G158" s="10"/>
      <c r="H158" s="10"/>
      <c r="I158" s="10"/>
      <c r="J158" s="10"/>
      <c r="K158" s="10"/>
      <c r="L158" s="10"/>
      <c r="M158" s="10"/>
    </row>
    <row r="159" customFormat="false" ht="15" hidden="false" customHeight="false" outlineLevel="0" collapsed="false">
      <c r="A159" s="9"/>
      <c r="B159" s="10"/>
      <c r="C159" s="11" t="str">
        <f aca="false">IF(B159="","",IFERROR(INDEX('Câu hỏi'!$D$2:$D$21,MATCH(B159,'Câu hỏi'!$A$2:$A$21,0)),"Mã không có"))</f>
        <v/>
      </c>
      <c r="D159" s="10"/>
      <c r="E159" s="10"/>
      <c r="F159" s="10"/>
      <c r="G159" s="10"/>
      <c r="H159" s="10"/>
      <c r="I159" s="10"/>
      <c r="J159" s="10"/>
      <c r="K159" s="10"/>
      <c r="L159" s="10"/>
      <c r="M159" s="10"/>
    </row>
    <row r="160" customFormat="false" ht="15" hidden="false" customHeight="false" outlineLevel="0" collapsed="false">
      <c r="A160" s="9"/>
      <c r="B160" s="10"/>
      <c r="C160" s="11" t="str">
        <f aca="false">IF(B160="","",IFERROR(INDEX('Câu hỏi'!$D$2:$D$21,MATCH(B160,'Câu hỏi'!$A$2:$A$21,0)),"Mã không có"))</f>
        <v/>
      </c>
      <c r="D160" s="10"/>
      <c r="E160" s="10"/>
      <c r="F160" s="10"/>
      <c r="G160" s="10"/>
      <c r="H160" s="10"/>
      <c r="I160" s="10"/>
      <c r="J160" s="10"/>
      <c r="K160" s="10"/>
      <c r="L160" s="10"/>
      <c r="M160" s="10"/>
    </row>
    <row r="161" customFormat="false" ht="15" hidden="false" customHeight="false" outlineLevel="0" collapsed="false">
      <c r="A161" s="9"/>
      <c r="B161" s="10"/>
      <c r="C161" s="11" t="str">
        <f aca="false">IF(B161="","",IFERROR(INDEX('Câu hỏi'!$D$2:$D$21,MATCH(B161,'Câu hỏi'!$A$2:$A$21,0)),"Mã không có"))</f>
        <v/>
      </c>
      <c r="D161" s="10"/>
      <c r="E161" s="10"/>
      <c r="F161" s="10"/>
      <c r="G161" s="10"/>
      <c r="H161" s="10"/>
      <c r="I161" s="10"/>
      <c r="J161" s="10"/>
      <c r="K161" s="10"/>
      <c r="L161" s="10"/>
      <c r="M161" s="10"/>
    </row>
    <row r="162" customFormat="false" ht="15" hidden="false" customHeight="false" outlineLevel="0" collapsed="false">
      <c r="A162" s="9"/>
      <c r="B162" s="10"/>
      <c r="C162" s="11" t="str">
        <f aca="false">IF(B162="","",IFERROR(INDEX('Câu hỏi'!$D$2:$D$21,MATCH(B162,'Câu hỏi'!$A$2:$A$21,0)),"Mã không có"))</f>
        <v/>
      </c>
      <c r="D162" s="10"/>
      <c r="E162" s="10"/>
      <c r="F162" s="10"/>
      <c r="G162" s="10"/>
      <c r="H162" s="10"/>
      <c r="I162" s="10"/>
      <c r="J162" s="10"/>
      <c r="K162" s="10"/>
      <c r="L162" s="10"/>
      <c r="M162" s="10"/>
    </row>
    <row r="163" customFormat="false" ht="15" hidden="false" customHeight="false" outlineLevel="0" collapsed="false">
      <c r="A163" s="9"/>
      <c r="B163" s="10"/>
      <c r="C163" s="11" t="str">
        <f aca="false">IF(B163="","",IFERROR(INDEX('Câu hỏi'!$D$2:$D$21,MATCH(B163,'Câu hỏi'!$A$2:$A$21,0)),"Mã không có"))</f>
        <v/>
      </c>
      <c r="D163" s="10"/>
      <c r="E163" s="10"/>
      <c r="F163" s="10"/>
      <c r="G163" s="10"/>
      <c r="H163" s="10"/>
      <c r="I163" s="10"/>
      <c r="J163" s="10"/>
      <c r="K163" s="10"/>
      <c r="L163" s="10"/>
      <c r="M163" s="10"/>
    </row>
    <row r="164" customFormat="false" ht="15" hidden="false" customHeight="false" outlineLevel="0" collapsed="false">
      <c r="A164" s="9"/>
      <c r="B164" s="10"/>
      <c r="C164" s="11" t="str">
        <f aca="false">IF(B164="","",IFERROR(INDEX('Câu hỏi'!$D$2:$D$21,MATCH(B164,'Câu hỏi'!$A$2:$A$21,0)),"Mã không có"))</f>
        <v/>
      </c>
      <c r="D164" s="10"/>
      <c r="E164" s="10"/>
      <c r="F164" s="10"/>
      <c r="G164" s="10"/>
      <c r="H164" s="10"/>
      <c r="I164" s="10"/>
      <c r="J164" s="10"/>
      <c r="K164" s="10"/>
      <c r="L164" s="10"/>
      <c r="M164" s="10"/>
    </row>
    <row r="165" customFormat="false" ht="15" hidden="false" customHeight="false" outlineLevel="0" collapsed="false">
      <c r="A165" s="9"/>
      <c r="B165" s="10"/>
      <c r="C165" s="11" t="str">
        <f aca="false">IF(B165="","",IFERROR(INDEX('Câu hỏi'!$D$2:$D$21,MATCH(B165,'Câu hỏi'!$A$2:$A$21,0)),"Mã không có"))</f>
        <v/>
      </c>
      <c r="D165" s="10"/>
      <c r="E165" s="10"/>
      <c r="F165" s="10"/>
      <c r="G165" s="10"/>
      <c r="H165" s="10"/>
      <c r="I165" s="10"/>
      <c r="J165" s="10"/>
      <c r="K165" s="10"/>
      <c r="L165" s="10"/>
      <c r="M165" s="10"/>
    </row>
    <row r="166" customFormat="false" ht="15" hidden="false" customHeight="false" outlineLevel="0" collapsed="false">
      <c r="A166" s="9"/>
      <c r="B166" s="10"/>
      <c r="C166" s="11" t="str">
        <f aca="false">IF(B166="","",IFERROR(INDEX('Câu hỏi'!$D$2:$D$21,MATCH(B166,'Câu hỏi'!$A$2:$A$21,0)),"Mã không có"))</f>
        <v/>
      </c>
      <c r="D166" s="10"/>
      <c r="E166" s="10"/>
      <c r="F166" s="10"/>
      <c r="G166" s="10"/>
      <c r="H166" s="10"/>
      <c r="I166" s="10"/>
      <c r="J166" s="10"/>
      <c r="K166" s="10"/>
      <c r="L166" s="10"/>
      <c r="M166" s="10"/>
    </row>
    <row r="167" customFormat="false" ht="15" hidden="false" customHeight="false" outlineLevel="0" collapsed="false">
      <c r="A167" s="9"/>
      <c r="B167" s="10"/>
      <c r="C167" s="11" t="str">
        <f aca="false">IF(B167="","",IFERROR(INDEX('Câu hỏi'!$D$2:$D$21,MATCH(B167,'Câu hỏi'!$A$2:$A$21,0)),"Mã không có"))</f>
        <v/>
      </c>
      <c r="D167" s="10"/>
      <c r="E167" s="10"/>
      <c r="F167" s="10"/>
      <c r="G167" s="10"/>
      <c r="H167" s="10"/>
      <c r="I167" s="10"/>
      <c r="J167" s="10"/>
      <c r="K167" s="10"/>
      <c r="L167" s="10"/>
      <c r="M167" s="10"/>
    </row>
    <row r="168" customFormat="false" ht="15" hidden="false" customHeight="false" outlineLevel="0" collapsed="false">
      <c r="A168" s="9"/>
      <c r="B168" s="10"/>
      <c r="C168" s="11" t="str">
        <f aca="false">IF(B168="","",IFERROR(INDEX('Câu hỏi'!$D$2:$D$21,MATCH(B168,'Câu hỏi'!$A$2:$A$21,0)),"Mã không có"))</f>
        <v/>
      </c>
      <c r="D168" s="10"/>
      <c r="E168" s="10"/>
      <c r="F168" s="10"/>
      <c r="G168" s="10"/>
      <c r="H168" s="10"/>
      <c r="I168" s="10"/>
      <c r="J168" s="10"/>
      <c r="K168" s="10"/>
      <c r="L168" s="10"/>
      <c r="M168" s="10"/>
    </row>
    <row r="169" customFormat="false" ht="15" hidden="false" customHeight="false" outlineLevel="0" collapsed="false">
      <c r="A169" s="9"/>
      <c r="B169" s="10"/>
      <c r="C169" s="11" t="str">
        <f aca="false">IF(B169="","",IFERROR(INDEX('Câu hỏi'!$D$2:$D$21,MATCH(B169,'Câu hỏi'!$A$2:$A$21,0)),"Mã không có"))</f>
        <v/>
      </c>
      <c r="D169" s="10"/>
      <c r="E169" s="10"/>
      <c r="F169" s="10"/>
      <c r="G169" s="10"/>
      <c r="H169" s="10"/>
      <c r="I169" s="10"/>
      <c r="J169" s="10"/>
      <c r="K169" s="10"/>
      <c r="L169" s="10"/>
      <c r="M169" s="10"/>
    </row>
    <row r="170" customFormat="false" ht="15" hidden="false" customHeight="false" outlineLevel="0" collapsed="false">
      <c r="A170" s="9"/>
      <c r="B170" s="10"/>
      <c r="C170" s="11" t="str">
        <f aca="false">IF(B170="","",IFERROR(INDEX('Câu hỏi'!$D$2:$D$21,MATCH(B170,'Câu hỏi'!$A$2:$A$21,0)),"Mã không có"))</f>
        <v/>
      </c>
      <c r="D170" s="10"/>
      <c r="E170" s="10"/>
      <c r="F170" s="10"/>
      <c r="G170" s="10"/>
      <c r="H170" s="10"/>
      <c r="I170" s="10"/>
      <c r="J170" s="10"/>
      <c r="K170" s="10"/>
      <c r="L170" s="10"/>
      <c r="M170" s="10"/>
    </row>
    <row r="171" customFormat="false" ht="15" hidden="false" customHeight="false" outlineLevel="0" collapsed="false">
      <c r="A171" s="9"/>
      <c r="B171" s="10"/>
      <c r="C171" s="11" t="str">
        <f aca="false">IF(B171="","",IFERROR(INDEX('Câu hỏi'!$D$2:$D$21,MATCH(B171,'Câu hỏi'!$A$2:$A$21,0)),"Mã không có"))</f>
        <v/>
      </c>
      <c r="D171" s="10"/>
      <c r="E171" s="10"/>
      <c r="F171" s="10"/>
      <c r="G171" s="10"/>
      <c r="H171" s="10"/>
      <c r="I171" s="10"/>
      <c r="J171" s="10"/>
      <c r="K171" s="10"/>
      <c r="L171" s="10"/>
      <c r="M171" s="10"/>
    </row>
    <row r="172" customFormat="false" ht="15" hidden="false" customHeight="false" outlineLevel="0" collapsed="false">
      <c r="A172" s="9"/>
      <c r="B172" s="10"/>
      <c r="C172" s="11" t="str">
        <f aca="false">IF(B172="","",IFERROR(INDEX('Câu hỏi'!$D$2:$D$21,MATCH(B172,'Câu hỏi'!$A$2:$A$21,0)),"Mã không có"))</f>
        <v/>
      </c>
      <c r="D172" s="10"/>
      <c r="E172" s="10"/>
      <c r="F172" s="10"/>
      <c r="G172" s="10"/>
      <c r="H172" s="10"/>
      <c r="I172" s="10"/>
      <c r="J172" s="10"/>
      <c r="K172" s="10"/>
      <c r="L172" s="10"/>
      <c r="M172" s="10"/>
    </row>
    <row r="173" customFormat="false" ht="15" hidden="false" customHeight="false" outlineLevel="0" collapsed="false">
      <c r="A173" s="9"/>
      <c r="B173" s="10"/>
      <c r="C173" s="11" t="str">
        <f aca="false">IF(B173="","",IFERROR(INDEX('Câu hỏi'!$D$2:$D$21,MATCH(B173,'Câu hỏi'!$A$2:$A$21,0)),"Mã không có"))</f>
        <v/>
      </c>
      <c r="D173" s="10"/>
      <c r="E173" s="10"/>
      <c r="F173" s="10"/>
      <c r="G173" s="10"/>
      <c r="H173" s="10"/>
      <c r="I173" s="10"/>
      <c r="J173" s="10"/>
      <c r="K173" s="10"/>
      <c r="L173" s="10"/>
      <c r="M173" s="10"/>
    </row>
    <row r="174" customFormat="false" ht="15" hidden="false" customHeight="false" outlineLevel="0" collapsed="false">
      <c r="A174" s="9"/>
      <c r="B174" s="10"/>
      <c r="C174" s="11" t="str">
        <f aca="false">IF(B174="","",IFERROR(INDEX('Câu hỏi'!$D$2:$D$21,MATCH(B174,'Câu hỏi'!$A$2:$A$21,0)),"Mã không có"))</f>
        <v/>
      </c>
      <c r="D174" s="10"/>
      <c r="E174" s="10"/>
      <c r="F174" s="10"/>
      <c r="G174" s="10"/>
      <c r="H174" s="10"/>
      <c r="I174" s="10"/>
      <c r="J174" s="10"/>
      <c r="K174" s="10"/>
      <c r="L174" s="10"/>
      <c r="M174" s="10"/>
    </row>
    <row r="175" customFormat="false" ht="15" hidden="false" customHeight="false" outlineLevel="0" collapsed="false">
      <c r="A175" s="9"/>
      <c r="B175" s="10"/>
      <c r="C175" s="11" t="str">
        <f aca="false">IF(B175="","",IFERROR(INDEX('Câu hỏi'!$D$2:$D$21,MATCH(B175,'Câu hỏi'!$A$2:$A$21,0)),"Mã không có"))</f>
        <v/>
      </c>
      <c r="D175" s="10"/>
      <c r="E175" s="10"/>
      <c r="F175" s="10"/>
      <c r="G175" s="10"/>
      <c r="H175" s="10"/>
      <c r="I175" s="10"/>
      <c r="J175" s="10"/>
      <c r="K175" s="10"/>
      <c r="L175" s="10"/>
      <c r="M175" s="10"/>
    </row>
    <row r="176" customFormat="false" ht="15" hidden="false" customHeight="false" outlineLevel="0" collapsed="false">
      <c r="A176" s="9"/>
      <c r="B176" s="10"/>
      <c r="C176" s="11" t="str">
        <f aca="false">IF(B176="","",IFERROR(INDEX('Câu hỏi'!$D$2:$D$21,MATCH(B176,'Câu hỏi'!$A$2:$A$21,0)),"Mã không có"))</f>
        <v/>
      </c>
      <c r="D176" s="10"/>
      <c r="E176" s="10"/>
      <c r="F176" s="10"/>
      <c r="G176" s="10"/>
      <c r="H176" s="10"/>
      <c r="I176" s="10"/>
      <c r="J176" s="10"/>
      <c r="K176" s="10"/>
      <c r="L176" s="10"/>
      <c r="M176" s="10"/>
    </row>
    <row r="177" customFormat="false" ht="15" hidden="false" customHeight="false" outlineLevel="0" collapsed="false">
      <c r="A177" s="9"/>
      <c r="B177" s="10"/>
      <c r="C177" s="11" t="str">
        <f aca="false">IF(B177="","",IFERROR(INDEX('Câu hỏi'!$D$2:$D$21,MATCH(B177,'Câu hỏi'!$A$2:$A$21,0)),"Mã không có"))</f>
        <v/>
      </c>
      <c r="D177" s="10"/>
      <c r="E177" s="10"/>
      <c r="F177" s="10"/>
      <c r="G177" s="10"/>
      <c r="H177" s="10"/>
      <c r="I177" s="10"/>
      <c r="J177" s="10"/>
      <c r="K177" s="10"/>
      <c r="L177" s="10"/>
      <c r="M177" s="10"/>
    </row>
    <row r="178" customFormat="false" ht="15" hidden="false" customHeight="false" outlineLevel="0" collapsed="false">
      <c r="A178" s="9"/>
      <c r="B178" s="10"/>
      <c r="C178" s="11" t="str">
        <f aca="false">IF(B178="","",IFERROR(INDEX('Câu hỏi'!$D$2:$D$21,MATCH(B178,'Câu hỏi'!$A$2:$A$21,0)),"Mã không có"))</f>
        <v/>
      </c>
      <c r="D178" s="10"/>
      <c r="E178" s="10"/>
      <c r="F178" s="10"/>
      <c r="G178" s="10"/>
      <c r="H178" s="10"/>
      <c r="I178" s="10"/>
      <c r="J178" s="10"/>
      <c r="K178" s="10"/>
      <c r="L178" s="10"/>
      <c r="M178" s="10"/>
    </row>
    <row r="179" customFormat="false" ht="15" hidden="false" customHeight="false" outlineLevel="0" collapsed="false">
      <c r="A179" s="9"/>
      <c r="B179" s="10"/>
      <c r="C179" s="11" t="str">
        <f aca="false">IF(B179="","",IFERROR(INDEX('Câu hỏi'!$D$2:$D$21,MATCH(B179,'Câu hỏi'!$A$2:$A$21,0)),"Mã không có"))</f>
        <v/>
      </c>
      <c r="D179" s="10"/>
      <c r="E179" s="10"/>
      <c r="F179" s="10"/>
      <c r="G179" s="10"/>
      <c r="H179" s="10"/>
      <c r="I179" s="10"/>
      <c r="J179" s="10"/>
      <c r="K179" s="10"/>
      <c r="L179" s="10"/>
      <c r="M179" s="10"/>
    </row>
    <row r="180" customFormat="false" ht="15" hidden="false" customHeight="false" outlineLevel="0" collapsed="false">
      <c r="A180" s="9"/>
      <c r="B180" s="10"/>
      <c r="C180" s="11" t="str">
        <f aca="false">IF(B180="","",IFERROR(INDEX('Câu hỏi'!$D$2:$D$21,MATCH(B180,'Câu hỏi'!$A$2:$A$21,0)),"Mã không có"))</f>
        <v/>
      </c>
      <c r="D180" s="10"/>
      <c r="E180" s="10"/>
      <c r="F180" s="10"/>
      <c r="G180" s="10"/>
      <c r="H180" s="10"/>
      <c r="I180" s="10"/>
      <c r="J180" s="10"/>
      <c r="K180" s="10"/>
      <c r="L180" s="10"/>
      <c r="M180" s="10"/>
    </row>
    <row r="181" customFormat="false" ht="15" hidden="false" customHeight="false" outlineLevel="0" collapsed="false">
      <c r="A181" s="9"/>
      <c r="B181" s="10"/>
      <c r="C181" s="11" t="str">
        <f aca="false">IF(B181="","",IFERROR(INDEX('Câu hỏi'!$D$2:$D$21,MATCH(B181,'Câu hỏi'!$A$2:$A$21,0)),"Mã không có"))</f>
        <v/>
      </c>
      <c r="D181" s="10"/>
      <c r="E181" s="10"/>
      <c r="F181" s="10"/>
      <c r="G181" s="10"/>
      <c r="H181" s="10"/>
      <c r="I181" s="10"/>
      <c r="J181" s="10"/>
      <c r="K181" s="10"/>
      <c r="L181" s="10"/>
      <c r="M181" s="10"/>
    </row>
    <row r="182" customFormat="false" ht="15" hidden="false" customHeight="false" outlineLevel="0" collapsed="false">
      <c r="A182" s="9"/>
      <c r="B182" s="10"/>
      <c r="C182" s="11" t="str">
        <f aca="false">IF(B182="","",IFERROR(INDEX('Câu hỏi'!$D$2:$D$21,MATCH(B182,'Câu hỏi'!$A$2:$A$21,0)),"Mã không có"))</f>
        <v/>
      </c>
      <c r="D182" s="10"/>
      <c r="E182" s="10"/>
      <c r="F182" s="10"/>
      <c r="G182" s="10"/>
      <c r="H182" s="10"/>
      <c r="I182" s="10"/>
      <c r="J182" s="10"/>
      <c r="K182" s="10"/>
      <c r="L182" s="10"/>
      <c r="M182" s="10"/>
    </row>
    <row r="183" customFormat="false" ht="15" hidden="false" customHeight="false" outlineLevel="0" collapsed="false">
      <c r="A183" s="9"/>
      <c r="B183" s="10"/>
      <c r="C183" s="11" t="str">
        <f aca="false">IF(B183="","",IFERROR(INDEX('Câu hỏi'!$D$2:$D$21,MATCH(B183,'Câu hỏi'!$A$2:$A$21,0)),"Mã không có"))</f>
        <v/>
      </c>
      <c r="D183" s="10"/>
      <c r="E183" s="10"/>
      <c r="F183" s="10"/>
      <c r="G183" s="10"/>
      <c r="H183" s="10"/>
      <c r="I183" s="10"/>
      <c r="J183" s="10"/>
      <c r="K183" s="10"/>
      <c r="L183" s="10"/>
      <c r="M183" s="10"/>
    </row>
    <row r="184" customFormat="false" ht="15" hidden="false" customHeight="false" outlineLevel="0" collapsed="false">
      <c r="A184" s="9"/>
      <c r="B184" s="10"/>
      <c r="C184" s="11" t="str">
        <f aca="false">IF(B184="","",IFERROR(INDEX('Câu hỏi'!$D$2:$D$21,MATCH(B184,'Câu hỏi'!$A$2:$A$21,0)),"Mã không có"))</f>
        <v/>
      </c>
      <c r="D184" s="10"/>
      <c r="E184" s="10"/>
      <c r="F184" s="10"/>
      <c r="G184" s="10"/>
      <c r="H184" s="10"/>
      <c r="I184" s="10"/>
      <c r="J184" s="10"/>
      <c r="K184" s="10"/>
      <c r="L184" s="10"/>
      <c r="M184" s="10"/>
    </row>
    <row r="185" customFormat="false" ht="15" hidden="false" customHeight="false" outlineLevel="0" collapsed="false">
      <c r="A185" s="9"/>
      <c r="B185" s="10"/>
      <c r="C185" s="11" t="str">
        <f aca="false">IF(B185="","",IFERROR(INDEX('Câu hỏi'!$D$2:$D$21,MATCH(B185,'Câu hỏi'!$A$2:$A$21,0)),"Mã không có"))</f>
        <v/>
      </c>
      <c r="D185" s="10"/>
      <c r="E185" s="10"/>
      <c r="F185" s="10"/>
      <c r="G185" s="10"/>
      <c r="H185" s="10"/>
      <c r="I185" s="10"/>
      <c r="J185" s="10"/>
      <c r="K185" s="10"/>
      <c r="L185" s="10"/>
      <c r="M185" s="10"/>
    </row>
    <row r="186" customFormat="false" ht="15" hidden="false" customHeight="false" outlineLevel="0" collapsed="false">
      <c r="A186" s="9"/>
      <c r="B186" s="10"/>
      <c r="C186" s="11" t="str">
        <f aca="false">IF(B186="","",IFERROR(INDEX('Câu hỏi'!$D$2:$D$21,MATCH(B186,'Câu hỏi'!$A$2:$A$21,0)),"Mã không có"))</f>
        <v/>
      </c>
      <c r="D186" s="10"/>
      <c r="E186" s="10"/>
      <c r="F186" s="10"/>
      <c r="G186" s="10"/>
      <c r="H186" s="10"/>
      <c r="I186" s="10"/>
      <c r="J186" s="10"/>
      <c r="K186" s="10"/>
      <c r="L186" s="10"/>
      <c r="M186" s="10"/>
    </row>
    <row r="187" customFormat="false" ht="15" hidden="false" customHeight="false" outlineLevel="0" collapsed="false">
      <c r="A187" s="9"/>
      <c r="B187" s="10"/>
      <c r="C187" s="11" t="str">
        <f aca="false">IF(B187="","",IFERROR(INDEX('Câu hỏi'!$D$2:$D$21,MATCH(B187,'Câu hỏi'!$A$2:$A$21,0)),"Mã không có"))</f>
        <v/>
      </c>
      <c r="D187" s="10"/>
      <c r="E187" s="10"/>
      <c r="F187" s="10"/>
      <c r="G187" s="10"/>
      <c r="H187" s="10"/>
      <c r="I187" s="10"/>
      <c r="J187" s="10"/>
      <c r="K187" s="10"/>
      <c r="L187" s="10"/>
      <c r="M187" s="10"/>
    </row>
    <row r="188" customFormat="false" ht="15" hidden="false" customHeight="false" outlineLevel="0" collapsed="false">
      <c r="A188" s="9"/>
      <c r="B188" s="10"/>
      <c r="C188" s="11" t="str">
        <f aca="false">IF(B188="","",IFERROR(INDEX('Câu hỏi'!$D$2:$D$21,MATCH(B188,'Câu hỏi'!$A$2:$A$21,0)),"Mã không có"))</f>
        <v/>
      </c>
      <c r="D188" s="10"/>
      <c r="E188" s="10"/>
      <c r="F188" s="10"/>
      <c r="G188" s="10"/>
      <c r="H188" s="10"/>
      <c r="I188" s="10"/>
      <c r="J188" s="10"/>
      <c r="K188" s="10"/>
      <c r="L188" s="10"/>
      <c r="M188" s="10"/>
    </row>
    <row r="189" customFormat="false" ht="15" hidden="false" customHeight="false" outlineLevel="0" collapsed="false">
      <c r="A189" s="9"/>
      <c r="B189" s="10"/>
      <c r="C189" s="11" t="str">
        <f aca="false">IF(B189="","",IFERROR(INDEX('Câu hỏi'!$D$2:$D$21,MATCH(B189,'Câu hỏi'!$A$2:$A$21,0)),"Mã không có"))</f>
        <v/>
      </c>
      <c r="D189" s="10"/>
      <c r="E189" s="10"/>
      <c r="F189" s="10"/>
      <c r="G189" s="10"/>
      <c r="H189" s="10"/>
      <c r="I189" s="10"/>
      <c r="J189" s="10"/>
      <c r="K189" s="10"/>
      <c r="L189" s="10"/>
      <c r="M189" s="10"/>
    </row>
    <row r="190" customFormat="false" ht="15" hidden="false" customHeight="false" outlineLevel="0" collapsed="false">
      <c r="A190" s="9"/>
      <c r="B190" s="10"/>
      <c r="C190" s="11" t="str">
        <f aca="false">IF(B190="","",IFERROR(INDEX('Câu hỏi'!$D$2:$D$21,MATCH(B190,'Câu hỏi'!$A$2:$A$21,0)),"Mã không có"))</f>
        <v/>
      </c>
      <c r="D190" s="10"/>
      <c r="E190" s="10"/>
      <c r="F190" s="10"/>
      <c r="G190" s="10"/>
      <c r="H190" s="10"/>
      <c r="I190" s="10"/>
      <c r="J190" s="10"/>
      <c r="K190" s="10"/>
      <c r="L190" s="10"/>
      <c r="M190" s="10"/>
    </row>
    <row r="191" customFormat="false" ht="15" hidden="false" customHeight="false" outlineLevel="0" collapsed="false">
      <c r="A191" s="9"/>
      <c r="B191" s="10"/>
      <c r="C191" s="11" t="str">
        <f aca="false">IF(B191="","",IFERROR(INDEX('Câu hỏi'!$D$2:$D$21,MATCH(B191,'Câu hỏi'!$A$2:$A$21,0)),"Mã không có"))</f>
        <v/>
      </c>
      <c r="D191" s="10"/>
      <c r="E191" s="10"/>
      <c r="F191" s="10"/>
      <c r="G191" s="10"/>
      <c r="H191" s="10"/>
      <c r="I191" s="10"/>
      <c r="J191" s="10"/>
      <c r="K191" s="10"/>
      <c r="L191" s="10"/>
      <c r="M191" s="10"/>
    </row>
    <row r="192" customFormat="false" ht="15" hidden="false" customHeight="false" outlineLevel="0" collapsed="false">
      <c r="A192" s="9"/>
      <c r="B192" s="10"/>
      <c r="C192" s="11" t="str">
        <f aca="false">IF(B192="","",IFERROR(INDEX('Câu hỏi'!$D$2:$D$21,MATCH(B192,'Câu hỏi'!$A$2:$A$21,0)),"Mã không có"))</f>
        <v/>
      </c>
      <c r="D192" s="10"/>
      <c r="E192" s="10"/>
      <c r="F192" s="10"/>
      <c r="G192" s="10"/>
      <c r="H192" s="10"/>
      <c r="I192" s="10"/>
      <c r="J192" s="10"/>
      <c r="K192" s="10"/>
      <c r="L192" s="10"/>
      <c r="M192" s="10"/>
    </row>
    <row r="193" customFormat="false" ht="15" hidden="false" customHeight="false" outlineLevel="0" collapsed="false">
      <c r="A193" s="9"/>
      <c r="B193" s="10"/>
      <c r="C193" s="11" t="str">
        <f aca="false">IF(B193="","",IFERROR(INDEX('Câu hỏi'!$D$2:$D$21,MATCH(B193,'Câu hỏi'!$A$2:$A$21,0)),"Mã không có"))</f>
        <v/>
      </c>
      <c r="D193" s="10"/>
      <c r="E193" s="10"/>
      <c r="F193" s="10"/>
      <c r="G193" s="10"/>
      <c r="H193" s="10"/>
      <c r="I193" s="10"/>
      <c r="J193" s="10"/>
      <c r="K193" s="10"/>
      <c r="L193" s="10"/>
      <c r="M193" s="10"/>
    </row>
    <row r="194" customFormat="false" ht="15" hidden="false" customHeight="false" outlineLevel="0" collapsed="false">
      <c r="A194" s="9"/>
      <c r="B194" s="10"/>
      <c r="C194" s="11" t="str">
        <f aca="false">IF(B194="","",IFERROR(INDEX('Câu hỏi'!$D$2:$D$21,MATCH(B194,'Câu hỏi'!$A$2:$A$21,0)),"Mã không có"))</f>
        <v/>
      </c>
      <c r="D194" s="10"/>
      <c r="E194" s="10"/>
      <c r="F194" s="10"/>
      <c r="G194" s="10"/>
      <c r="H194" s="10"/>
      <c r="I194" s="10"/>
      <c r="J194" s="10"/>
      <c r="K194" s="10"/>
      <c r="L194" s="10"/>
      <c r="M194" s="10"/>
    </row>
    <row r="195" customFormat="false" ht="15" hidden="false" customHeight="false" outlineLevel="0" collapsed="false">
      <c r="A195" s="9"/>
      <c r="B195" s="10"/>
      <c r="C195" s="11" t="str">
        <f aca="false">IF(B195="","",IFERROR(INDEX('Câu hỏi'!$D$2:$D$21,MATCH(B195,'Câu hỏi'!$A$2:$A$21,0)),"Mã không có"))</f>
        <v/>
      </c>
      <c r="D195" s="10"/>
      <c r="E195" s="10"/>
      <c r="F195" s="10"/>
      <c r="G195" s="10"/>
      <c r="H195" s="10"/>
      <c r="I195" s="10"/>
      <c r="J195" s="10"/>
      <c r="K195" s="10"/>
      <c r="L195" s="10"/>
      <c r="M195" s="10"/>
    </row>
    <row r="196" customFormat="false" ht="15" hidden="false" customHeight="false" outlineLevel="0" collapsed="false">
      <c r="A196" s="9"/>
      <c r="B196" s="10"/>
      <c r="C196" s="11" t="str">
        <f aca="false">IF(B196="","",IFERROR(INDEX('Câu hỏi'!$D$2:$D$21,MATCH(B196,'Câu hỏi'!$A$2:$A$21,0)),"Mã không có"))</f>
        <v/>
      </c>
      <c r="D196" s="10"/>
      <c r="E196" s="10"/>
      <c r="F196" s="10"/>
      <c r="G196" s="10"/>
      <c r="H196" s="10"/>
      <c r="I196" s="10"/>
      <c r="J196" s="10"/>
      <c r="K196" s="10"/>
      <c r="L196" s="10"/>
      <c r="M196" s="10"/>
    </row>
    <row r="197" customFormat="false" ht="15" hidden="false" customHeight="false" outlineLevel="0" collapsed="false">
      <c r="A197" s="9"/>
      <c r="B197" s="10"/>
      <c r="C197" s="11" t="str">
        <f aca="false">IF(B197="","",IFERROR(INDEX('Câu hỏi'!$D$2:$D$21,MATCH(B197,'Câu hỏi'!$A$2:$A$21,0)),"Mã không có"))</f>
        <v/>
      </c>
      <c r="D197" s="10"/>
      <c r="E197" s="10"/>
      <c r="F197" s="10"/>
      <c r="G197" s="10"/>
      <c r="H197" s="10"/>
      <c r="I197" s="10"/>
      <c r="J197" s="10"/>
      <c r="K197" s="10"/>
      <c r="L197" s="10"/>
      <c r="M197" s="10"/>
    </row>
    <row r="198" customFormat="false" ht="15" hidden="false" customHeight="false" outlineLevel="0" collapsed="false">
      <c r="A198" s="9"/>
      <c r="B198" s="10"/>
      <c r="C198" s="11" t="str">
        <f aca="false">IF(B198="","",IFERROR(INDEX('Câu hỏi'!$D$2:$D$21,MATCH(B198,'Câu hỏi'!$A$2:$A$21,0)),"Mã không có"))</f>
        <v/>
      </c>
      <c r="D198" s="10"/>
      <c r="E198" s="10"/>
      <c r="F198" s="10"/>
      <c r="G198" s="10"/>
      <c r="H198" s="10"/>
      <c r="I198" s="10"/>
      <c r="J198" s="10"/>
      <c r="K198" s="10"/>
      <c r="L198" s="10"/>
      <c r="M198" s="10"/>
    </row>
    <row r="199" customFormat="false" ht="15" hidden="false" customHeight="false" outlineLevel="0" collapsed="false">
      <c r="A199" s="9"/>
      <c r="B199" s="10"/>
      <c r="C199" s="11" t="str">
        <f aca="false">IF(B199="","",IFERROR(INDEX('Câu hỏi'!$D$2:$D$21,MATCH(B199,'Câu hỏi'!$A$2:$A$21,0)),"Mã không có"))</f>
        <v/>
      </c>
      <c r="D199" s="10"/>
      <c r="E199" s="10"/>
      <c r="F199" s="10"/>
      <c r="G199" s="10"/>
      <c r="H199" s="10"/>
      <c r="I199" s="10"/>
      <c r="J199" s="10"/>
      <c r="K199" s="10"/>
      <c r="L199" s="10"/>
      <c r="M199" s="10"/>
    </row>
    <row r="200" customFormat="false" ht="15" hidden="false" customHeight="false" outlineLevel="0" collapsed="false">
      <c r="A200" s="9"/>
      <c r="B200" s="10"/>
      <c r="C200" s="11" t="str">
        <f aca="false">IF(B200="","",IFERROR(INDEX('Câu hỏi'!$D$2:$D$21,MATCH(B200,'Câu hỏi'!$A$2:$A$21,0)),"Mã không có"))</f>
        <v/>
      </c>
      <c r="D200" s="10"/>
      <c r="E200" s="10"/>
      <c r="F200" s="10"/>
      <c r="G200" s="10"/>
      <c r="H200" s="10"/>
      <c r="I200" s="10"/>
      <c r="J200" s="10"/>
      <c r="K200" s="10"/>
      <c r="L200" s="10"/>
      <c r="M200" s="10"/>
    </row>
    <row r="201" customFormat="false" ht="15" hidden="false" customHeight="false" outlineLevel="0" collapsed="false">
      <c r="A201" s="9"/>
      <c r="B201" s="10"/>
      <c r="C201" s="11" t="str">
        <f aca="false">IF(B201="","",IFERROR(INDEX('Câu hỏi'!$D$2:$D$21,MATCH(B201,'Câu hỏi'!$A$2:$A$21,0)),"Mã không có"))</f>
        <v/>
      </c>
      <c r="D201" s="10"/>
      <c r="E201" s="10"/>
      <c r="F201" s="10"/>
      <c r="G201" s="10"/>
      <c r="H201" s="10"/>
      <c r="I201" s="10"/>
      <c r="J201" s="10"/>
      <c r="K201" s="10"/>
      <c r="L201" s="10"/>
      <c r="M201" s="10"/>
    </row>
    <row r="202" customFormat="false" ht="15" hidden="false" customHeight="false" outlineLevel="0" collapsed="false">
      <c r="A202" s="9"/>
      <c r="B202" s="10"/>
      <c r="C202" s="11" t="str">
        <f aca="false">IF(B202="","",IFERROR(INDEX('Câu hỏi'!$D$2:$D$21,MATCH(B202,'Câu hỏi'!$A$2:$A$21,0)),"Mã không có"))</f>
        <v/>
      </c>
      <c r="D202" s="10"/>
      <c r="E202" s="10"/>
      <c r="F202" s="10"/>
      <c r="G202" s="10"/>
      <c r="H202" s="10"/>
      <c r="I202" s="10"/>
      <c r="J202" s="10"/>
      <c r="K202" s="10"/>
      <c r="L202" s="10"/>
      <c r="M202" s="10"/>
    </row>
    <row r="203" customFormat="false" ht="15" hidden="false" customHeight="false" outlineLevel="0" collapsed="false">
      <c r="A203" s="9"/>
      <c r="B203" s="10"/>
      <c r="C203" s="11" t="str">
        <f aca="false">IF(B203="","",IFERROR(INDEX('Câu hỏi'!$D$2:$D$21,MATCH(B203,'Câu hỏi'!$A$2:$A$21,0)),"Mã không có"))</f>
        <v/>
      </c>
      <c r="D203" s="10"/>
      <c r="E203" s="10"/>
      <c r="F203" s="10"/>
      <c r="G203" s="10"/>
      <c r="H203" s="10"/>
      <c r="I203" s="10"/>
      <c r="J203" s="10"/>
      <c r="K203" s="10"/>
      <c r="L203" s="10"/>
      <c r="M203" s="10"/>
    </row>
    <row r="204" customFormat="false" ht="15" hidden="false" customHeight="false" outlineLevel="0" collapsed="false">
      <c r="A204" s="9"/>
      <c r="B204" s="10"/>
      <c r="C204" s="11" t="str">
        <f aca="false">IF(B204="","",IFERROR(INDEX('Câu hỏi'!$D$2:$D$21,MATCH(B204,'Câu hỏi'!$A$2:$A$21,0)),"Mã không có"))</f>
        <v/>
      </c>
      <c r="D204" s="10"/>
      <c r="E204" s="10"/>
      <c r="F204" s="10"/>
      <c r="G204" s="10"/>
      <c r="H204" s="10"/>
      <c r="I204" s="10"/>
      <c r="J204" s="10"/>
      <c r="K204" s="10"/>
      <c r="L204" s="10"/>
      <c r="M204" s="10"/>
    </row>
    <row r="205" customFormat="false" ht="15" hidden="false" customHeight="false" outlineLevel="0" collapsed="false">
      <c r="A205" s="9"/>
      <c r="B205" s="10"/>
      <c r="C205" s="11" t="str">
        <f aca="false">IF(B205="","",IFERROR(INDEX('Câu hỏi'!$D$2:$D$21,MATCH(B205,'Câu hỏi'!$A$2:$A$21,0)),"Mã không có"))</f>
        <v/>
      </c>
      <c r="D205" s="10"/>
      <c r="E205" s="10"/>
      <c r="F205" s="10"/>
      <c r="G205" s="10"/>
      <c r="H205" s="10"/>
      <c r="I205" s="10"/>
      <c r="J205" s="10"/>
      <c r="K205" s="10"/>
      <c r="L205" s="10"/>
      <c r="M205" s="10"/>
    </row>
    <row r="206" customFormat="false" ht="15" hidden="false" customHeight="false" outlineLevel="0" collapsed="false">
      <c r="A206" s="9"/>
      <c r="B206" s="10"/>
      <c r="C206" s="11" t="str">
        <f aca="false">IF(B206="","",IFERROR(INDEX('Câu hỏi'!$D$2:$D$21,MATCH(B206,'Câu hỏi'!$A$2:$A$21,0)),"Mã không có"))</f>
        <v/>
      </c>
      <c r="D206" s="10"/>
      <c r="E206" s="10"/>
      <c r="F206" s="10"/>
      <c r="G206" s="10"/>
      <c r="H206" s="10"/>
      <c r="I206" s="10"/>
      <c r="J206" s="10"/>
      <c r="K206" s="10"/>
      <c r="L206" s="10"/>
      <c r="M206" s="10"/>
    </row>
    <row r="207" customFormat="false" ht="15" hidden="false" customHeight="false" outlineLevel="0" collapsed="false">
      <c r="A207" s="9"/>
      <c r="B207" s="10"/>
      <c r="C207" s="11" t="str">
        <f aca="false">IF(B207="","",IFERROR(INDEX('Câu hỏi'!$D$2:$D$21,MATCH(B207,'Câu hỏi'!$A$2:$A$21,0)),"Mã không có"))</f>
        <v/>
      </c>
      <c r="D207" s="10"/>
      <c r="E207" s="10"/>
      <c r="F207" s="10"/>
      <c r="G207" s="10"/>
      <c r="H207" s="10"/>
      <c r="I207" s="10"/>
      <c r="J207" s="10"/>
      <c r="K207" s="10"/>
      <c r="L207" s="10"/>
      <c r="M207" s="10"/>
    </row>
    <row r="208" customFormat="false" ht="15" hidden="false" customHeight="false" outlineLevel="0" collapsed="false">
      <c r="A208" s="9"/>
      <c r="B208" s="10"/>
      <c r="C208" s="11" t="str">
        <f aca="false">IF(B208="","",IFERROR(INDEX('Câu hỏi'!$D$2:$D$21,MATCH(B208,'Câu hỏi'!$A$2:$A$21,0)),"Mã không có"))</f>
        <v/>
      </c>
      <c r="D208" s="10"/>
      <c r="E208" s="10"/>
      <c r="F208" s="10"/>
      <c r="G208" s="10"/>
      <c r="H208" s="10"/>
      <c r="I208" s="10"/>
      <c r="J208" s="10"/>
      <c r="K208" s="10"/>
      <c r="L208" s="10"/>
      <c r="M208" s="10"/>
    </row>
    <row r="209" customFormat="false" ht="15" hidden="false" customHeight="false" outlineLevel="0" collapsed="false">
      <c r="A209" s="9"/>
      <c r="B209" s="10"/>
      <c r="C209" s="11" t="str">
        <f aca="false">IF(B209="","",IFERROR(INDEX('Câu hỏi'!$D$2:$D$21,MATCH(B209,'Câu hỏi'!$A$2:$A$21,0)),"Mã không có"))</f>
        <v/>
      </c>
      <c r="D209" s="10"/>
      <c r="E209" s="10"/>
      <c r="F209" s="10"/>
      <c r="G209" s="10"/>
      <c r="H209" s="10"/>
      <c r="I209" s="10"/>
      <c r="J209" s="10"/>
      <c r="K209" s="10"/>
      <c r="L209" s="10"/>
      <c r="M209" s="10"/>
    </row>
    <row r="210" customFormat="false" ht="15" hidden="false" customHeight="false" outlineLevel="0" collapsed="false">
      <c r="A210" s="9"/>
      <c r="B210" s="10"/>
      <c r="C210" s="11" t="str">
        <f aca="false">IF(B210="","",IFERROR(INDEX('Câu hỏi'!$D$2:$D$21,MATCH(B210,'Câu hỏi'!$A$2:$A$21,0)),"Mã không có"))</f>
        <v/>
      </c>
      <c r="D210" s="10"/>
      <c r="E210" s="10"/>
      <c r="F210" s="10"/>
      <c r="G210" s="10"/>
      <c r="H210" s="10"/>
      <c r="I210" s="10"/>
      <c r="J210" s="10"/>
      <c r="K210" s="10"/>
      <c r="L210" s="10"/>
      <c r="M210" s="10"/>
    </row>
    <row r="211" customFormat="false" ht="15" hidden="false" customHeight="false" outlineLevel="0" collapsed="false">
      <c r="A211" s="9"/>
      <c r="B211" s="10"/>
      <c r="C211" s="11" t="str">
        <f aca="false">IF(B211="","",IFERROR(INDEX('Câu hỏi'!$D$2:$D$21,MATCH(B211,'Câu hỏi'!$A$2:$A$21,0)),"Mã không có"))</f>
        <v/>
      </c>
      <c r="D211" s="10"/>
      <c r="E211" s="10"/>
      <c r="F211" s="10"/>
      <c r="G211" s="10"/>
      <c r="H211" s="10"/>
      <c r="I211" s="10"/>
      <c r="J211" s="10"/>
      <c r="K211" s="10"/>
      <c r="L211" s="10"/>
      <c r="M211" s="10"/>
    </row>
    <row r="212" customFormat="false" ht="15" hidden="false" customHeight="false" outlineLevel="0" collapsed="false">
      <c r="A212" s="9"/>
      <c r="B212" s="10"/>
      <c r="C212" s="11" t="str">
        <f aca="false">IF(B212="","",IFERROR(INDEX('Câu hỏi'!$D$2:$D$21,MATCH(B212,'Câu hỏi'!$A$2:$A$21,0)),"Mã không có"))</f>
        <v/>
      </c>
      <c r="D212" s="10"/>
      <c r="E212" s="10"/>
      <c r="F212" s="10"/>
      <c r="G212" s="10"/>
      <c r="H212" s="10"/>
      <c r="I212" s="10"/>
      <c r="J212" s="10"/>
      <c r="K212" s="10"/>
      <c r="L212" s="10"/>
      <c r="M212" s="10"/>
    </row>
    <row r="213" customFormat="false" ht="15" hidden="false" customHeight="false" outlineLevel="0" collapsed="false">
      <c r="A213" s="9"/>
      <c r="B213" s="10"/>
      <c r="C213" s="11" t="str">
        <f aca="false">IF(B213="","",IFERROR(INDEX('Câu hỏi'!$D$2:$D$21,MATCH(B213,'Câu hỏi'!$A$2:$A$21,0)),"Mã không có"))</f>
        <v/>
      </c>
      <c r="D213" s="10"/>
      <c r="E213" s="10"/>
      <c r="F213" s="10"/>
      <c r="G213" s="10"/>
      <c r="H213" s="10"/>
      <c r="I213" s="10"/>
      <c r="J213" s="10"/>
      <c r="K213" s="10"/>
      <c r="L213" s="10"/>
      <c r="M213" s="10"/>
    </row>
    <row r="214" customFormat="false" ht="15" hidden="false" customHeight="false" outlineLevel="0" collapsed="false">
      <c r="A214" s="9"/>
      <c r="B214" s="10"/>
      <c r="C214" s="11" t="str">
        <f aca="false">IF(B214="","",IFERROR(INDEX('Câu hỏi'!$D$2:$D$21,MATCH(B214,'Câu hỏi'!$A$2:$A$21,0)),"Mã không có"))</f>
        <v/>
      </c>
      <c r="D214" s="10"/>
      <c r="E214" s="10"/>
      <c r="F214" s="10"/>
      <c r="G214" s="10"/>
      <c r="H214" s="10"/>
      <c r="I214" s="10"/>
      <c r="J214" s="10"/>
      <c r="K214" s="10"/>
      <c r="L214" s="10"/>
      <c r="M214" s="10"/>
    </row>
    <row r="215" customFormat="false" ht="15" hidden="false" customHeight="false" outlineLevel="0" collapsed="false">
      <c r="A215" s="9"/>
      <c r="B215" s="10"/>
      <c r="C215" s="11" t="str">
        <f aca="false">IF(B215="","",IFERROR(INDEX('Câu hỏi'!$D$2:$D$21,MATCH(B215,'Câu hỏi'!$A$2:$A$21,0)),"Mã không có"))</f>
        <v/>
      </c>
      <c r="D215" s="10"/>
      <c r="E215" s="10"/>
      <c r="F215" s="10"/>
      <c r="G215" s="10"/>
      <c r="H215" s="10"/>
      <c r="I215" s="10"/>
      <c r="J215" s="10"/>
      <c r="K215" s="10"/>
      <c r="L215" s="10"/>
      <c r="M215" s="10"/>
    </row>
    <row r="216" customFormat="false" ht="15" hidden="false" customHeight="false" outlineLevel="0" collapsed="false">
      <c r="A216" s="9"/>
      <c r="B216" s="10"/>
      <c r="C216" s="11" t="str">
        <f aca="false">IF(B216="","",IFERROR(INDEX('Câu hỏi'!$D$2:$D$21,MATCH(B216,'Câu hỏi'!$A$2:$A$21,0)),"Mã không có"))</f>
        <v/>
      </c>
      <c r="D216" s="10"/>
      <c r="E216" s="10"/>
      <c r="F216" s="10"/>
      <c r="G216" s="10"/>
      <c r="H216" s="10"/>
      <c r="I216" s="10"/>
      <c r="J216" s="10"/>
      <c r="K216" s="10"/>
      <c r="L216" s="10"/>
      <c r="M216" s="10"/>
    </row>
    <row r="217" customFormat="false" ht="15" hidden="false" customHeight="false" outlineLevel="0" collapsed="false">
      <c r="A217" s="9"/>
      <c r="B217" s="10"/>
      <c r="C217" s="11" t="str">
        <f aca="false">IF(B217="","",IFERROR(INDEX('Câu hỏi'!$D$2:$D$21,MATCH(B217,'Câu hỏi'!$A$2:$A$21,0)),"Mã không có"))</f>
        <v/>
      </c>
      <c r="D217" s="10"/>
      <c r="E217" s="10"/>
      <c r="F217" s="10"/>
      <c r="G217" s="10"/>
      <c r="H217" s="10"/>
      <c r="I217" s="10"/>
      <c r="J217" s="10"/>
      <c r="K217" s="10"/>
      <c r="L217" s="10"/>
      <c r="M217" s="10"/>
    </row>
    <row r="218" customFormat="false" ht="15" hidden="false" customHeight="false" outlineLevel="0" collapsed="false">
      <c r="A218" s="9"/>
      <c r="B218" s="10"/>
      <c r="C218" s="11" t="str">
        <f aca="false">IF(B218="","",IFERROR(INDEX('Câu hỏi'!$D$2:$D$21,MATCH(B218,'Câu hỏi'!$A$2:$A$21,0)),"Mã không có"))</f>
        <v/>
      </c>
      <c r="D218" s="10"/>
      <c r="E218" s="10"/>
      <c r="F218" s="10"/>
      <c r="G218" s="10"/>
      <c r="H218" s="10"/>
      <c r="I218" s="10"/>
      <c r="J218" s="10"/>
      <c r="K218" s="10"/>
      <c r="L218" s="10"/>
      <c r="M218" s="10"/>
    </row>
    <row r="219" customFormat="false" ht="15" hidden="false" customHeight="false" outlineLevel="0" collapsed="false">
      <c r="A219" s="9"/>
      <c r="B219" s="10"/>
      <c r="C219" s="11" t="str">
        <f aca="false">IF(B219="","",IFERROR(INDEX('Câu hỏi'!$D$2:$D$21,MATCH(B219,'Câu hỏi'!$A$2:$A$21,0)),"Mã không có"))</f>
        <v/>
      </c>
      <c r="D219" s="10"/>
      <c r="E219" s="10"/>
      <c r="F219" s="10"/>
      <c r="G219" s="10"/>
      <c r="H219" s="10"/>
      <c r="I219" s="10"/>
      <c r="J219" s="10"/>
      <c r="K219" s="10"/>
      <c r="L219" s="10"/>
      <c r="M219" s="10"/>
    </row>
    <row r="220" customFormat="false" ht="15" hidden="false" customHeight="false" outlineLevel="0" collapsed="false">
      <c r="A220" s="9"/>
      <c r="B220" s="10"/>
      <c r="C220" s="11" t="str">
        <f aca="false">IF(B220="","",IFERROR(INDEX('Câu hỏi'!$D$2:$D$21,MATCH(B220,'Câu hỏi'!$A$2:$A$21,0)),"Mã không có"))</f>
        <v/>
      </c>
      <c r="D220" s="10"/>
      <c r="E220" s="10"/>
      <c r="F220" s="10"/>
      <c r="G220" s="10"/>
      <c r="H220" s="10"/>
      <c r="I220" s="10"/>
      <c r="J220" s="10"/>
      <c r="K220" s="10"/>
      <c r="L220" s="10"/>
      <c r="M220" s="10"/>
    </row>
    <row r="221" customFormat="false" ht="15" hidden="false" customHeight="false" outlineLevel="0" collapsed="false">
      <c r="A221" s="9"/>
      <c r="B221" s="10"/>
      <c r="C221" s="11" t="str">
        <f aca="false">IF(B221="","",IFERROR(INDEX('Câu hỏi'!$D$2:$D$21,MATCH(B221,'Câu hỏi'!$A$2:$A$21,0)),"Mã không có"))</f>
        <v/>
      </c>
      <c r="D221" s="10"/>
      <c r="E221" s="10"/>
      <c r="F221" s="10"/>
      <c r="G221" s="10"/>
      <c r="H221" s="10"/>
      <c r="I221" s="10"/>
      <c r="J221" s="10"/>
      <c r="K221" s="10"/>
      <c r="L221" s="10"/>
      <c r="M221" s="10"/>
    </row>
    <row r="222" customFormat="false" ht="15" hidden="false" customHeight="false" outlineLevel="0" collapsed="false">
      <c r="A222" s="9"/>
      <c r="B222" s="10"/>
      <c r="C222" s="11" t="str">
        <f aca="false">IF(B222="","",IFERROR(INDEX('Câu hỏi'!$D$2:$D$21,MATCH(B222,'Câu hỏi'!$A$2:$A$21,0)),"Mã không có"))</f>
        <v/>
      </c>
      <c r="D222" s="10"/>
      <c r="E222" s="10"/>
      <c r="F222" s="10"/>
      <c r="G222" s="10"/>
      <c r="H222" s="10"/>
      <c r="I222" s="10"/>
      <c r="J222" s="10"/>
      <c r="K222" s="10"/>
      <c r="L222" s="10"/>
      <c r="M222" s="10"/>
    </row>
    <row r="223" customFormat="false" ht="15" hidden="false" customHeight="false" outlineLevel="0" collapsed="false">
      <c r="A223" s="9"/>
      <c r="B223" s="10"/>
      <c r="C223" s="11" t="str">
        <f aca="false">IF(B223="","",IFERROR(INDEX('Câu hỏi'!$D$2:$D$21,MATCH(B223,'Câu hỏi'!$A$2:$A$21,0)),"Mã không có"))</f>
        <v/>
      </c>
      <c r="D223" s="10"/>
      <c r="E223" s="10"/>
      <c r="F223" s="10"/>
      <c r="G223" s="10"/>
      <c r="H223" s="10"/>
      <c r="I223" s="10"/>
      <c r="J223" s="10"/>
      <c r="K223" s="10"/>
      <c r="L223" s="10"/>
      <c r="M223" s="10"/>
    </row>
    <row r="224" customFormat="false" ht="15" hidden="false" customHeight="false" outlineLevel="0" collapsed="false">
      <c r="A224" s="9"/>
      <c r="B224" s="10"/>
      <c r="C224" s="11" t="str">
        <f aca="false">IF(B224="","",IFERROR(INDEX('Câu hỏi'!$D$2:$D$21,MATCH(B224,'Câu hỏi'!$A$2:$A$21,0)),"Mã không có"))</f>
        <v/>
      </c>
      <c r="D224" s="10"/>
      <c r="E224" s="10"/>
      <c r="F224" s="10"/>
      <c r="G224" s="10"/>
      <c r="H224" s="10"/>
      <c r="I224" s="10"/>
      <c r="J224" s="10"/>
      <c r="K224" s="10"/>
      <c r="L224" s="10"/>
      <c r="M224" s="10"/>
    </row>
    <row r="225" customFormat="false" ht="15" hidden="false" customHeight="false" outlineLevel="0" collapsed="false">
      <c r="A225" s="9"/>
      <c r="B225" s="10"/>
      <c r="C225" s="11" t="str">
        <f aca="false">IF(B225="","",IFERROR(INDEX('Câu hỏi'!$D$2:$D$21,MATCH(B225,'Câu hỏi'!$A$2:$A$21,0)),"Mã không có"))</f>
        <v/>
      </c>
      <c r="D225" s="10"/>
      <c r="E225" s="10"/>
      <c r="F225" s="10"/>
      <c r="G225" s="10"/>
      <c r="H225" s="10"/>
      <c r="I225" s="10"/>
      <c r="J225" s="10"/>
      <c r="K225" s="10"/>
      <c r="L225" s="10"/>
      <c r="M225" s="10"/>
    </row>
    <row r="226" customFormat="false" ht="15" hidden="false" customHeight="false" outlineLevel="0" collapsed="false">
      <c r="A226" s="9"/>
      <c r="B226" s="10"/>
      <c r="C226" s="11" t="str">
        <f aca="false">IF(B226="","",IFERROR(INDEX('Câu hỏi'!$D$2:$D$21,MATCH(B226,'Câu hỏi'!$A$2:$A$21,0)),"Mã không có"))</f>
        <v/>
      </c>
      <c r="D226" s="10"/>
      <c r="E226" s="10"/>
      <c r="F226" s="10"/>
      <c r="G226" s="10"/>
      <c r="H226" s="10"/>
      <c r="I226" s="10"/>
      <c r="J226" s="10"/>
      <c r="K226" s="10"/>
      <c r="L226" s="10"/>
      <c r="M226" s="10"/>
    </row>
    <row r="227" customFormat="false" ht="15" hidden="false" customHeight="false" outlineLevel="0" collapsed="false">
      <c r="A227" s="9"/>
      <c r="B227" s="10"/>
      <c r="C227" s="11" t="str">
        <f aca="false">IF(B227="","",IFERROR(INDEX('Câu hỏi'!$D$2:$D$21,MATCH(B227,'Câu hỏi'!$A$2:$A$21,0)),"Mã không có"))</f>
        <v/>
      </c>
      <c r="D227" s="10"/>
      <c r="E227" s="10"/>
      <c r="F227" s="10"/>
      <c r="G227" s="10"/>
      <c r="H227" s="10"/>
      <c r="I227" s="10"/>
      <c r="J227" s="10"/>
      <c r="K227" s="10"/>
      <c r="L227" s="10"/>
      <c r="M227" s="10"/>
    </row>
    <row r="228" customFormat="false" ht="15" hidden="false" customHeight="false" outlineLevel="0" collapsed="false">
      <c r="A228" s="9"/>
      <c r="B228" s="10"/>
      <c r="C228" s="11" t="str">
        <f aca="false">IF(B228="","",IFERROR(INDEX('Câu hỏi'!$D$2:$D$21,MATCH(B228,'Câu hỏi'!$A$2:$A$21,0)),"Mã không có"))</f>
        <v/>
      </c>
      <c r="D228" s="10"/>
      <c r="E228" s="10"/>
      <c r="F228" s="10"/>
      <c r="G228" s="10"/>
      <c r="H228" s="10"/>
      <c r="I228" s="10"/>
      <c r="J228" s="10"/>
      <c r="K228" s="10"/>
      <c r="L228" s="10"/>
      <c r="M228" s="10"/>
    </row>
    <row r="229" customFormat="false" ht="15" hidden="false" customHeight="false" outlineLevel="0" collapsed="false">
      <c r="A229" s="9"/>
      <c r="B229" s="10"/>
      <c r="C229" s="11" t="str">
        <f aca="false">IF(B229="","",IFERROR(INDEX('Câu hỏi'!$D$2:$D$21,MATCH(B229,'Câu hỏi'!$A$2:$A$21,0)),"Mã không có"))</f>
        <v/>
      </c>
      <c r="D229" s="10"/>
      <c r="E229" s="10"/>
      <c r="F229" s="10"/>
      <c r="G229" s="10"/>
      <c r="H229" s="10"/>
      <c r="I229" s="10"/>
      <c r="J229" s="10"/>
      <c r="K229" s="10"/>
      <c r="L229" s="10"/>
      <c r="M229" s="10"/>
    </row>
    <row r="230" customFormat="false" ht="15" hidden="false" customHeight="false" outlineLevel="0" collapsed="false">
      <c r="A230" s="9"/>
      <c r="B230" s="10"/>
      <c r="C230" s="11" t="str">
        <f aca="false">IF(B230="","",IFERROR(INDEX('Câu hỏi'!$D$2:$D$21,MATCH(B230,'Câu hỏi'!$A$2:$A$21,0)),"Mã không có"))</f>
        <v/>
      </c>
      <c r="D230" s="10"/>
      <c r="E230" s="10"/>
      <c r="F230" s="10"/>
      <c r="G230" s="10"/>
      <c r="H230" s="10"/>
      <c r="I230" s="10"/>
      <c r="J230" s="10"/>
      <c r="K230" s="10"/>
      <c r="L230" s="10"/>
      <c r="M230" s="10"/>
    </row>
    <row r="231" customFormat="false" ht="15" hidden="false" customHeight="false" outlineLevel="0" collapsed="false">
      <c r="A231" s="9"/>
      <c r="B231" s="10"/>
      <c r="C231" s="11" t="str">
        <f aca="false">IF(B231="","",IFERROR(INDEX('Câu hỏi'!$D$2:$D$21,MATCH(B231,'Câu hỏi'!$A$2:$A$21,0)),"Mã không có"))</f>
        <v/>
      </c>
      <c r="D231" s="10"/>
      <c r="E231" s="10"/>
      <c r="F231" s="10"/>
      <c r="G231" s="10"/>
      <c r="H231" s="10"/>
      <c r="I231" s="10"/>
      <c r="J231" s="10"/>
      <c r="K231" s="10"/>
      <c r="L231" s="10"/>
      <c r="M231" s="10"/>
    </row>
    <row r="232" customFormat="false" ht="15" hidden="false" customHeight="false" outlineLevel="0" collapsed="false">
      <c r="A232" s="9"/>
      <c r="B232" s="10"/>
      <c r="C232" s="11" t="str">
        <f aca="false">IF(B232="","",IFERROR(INDEX('Câu hỏi'!$D$2:$D$21,MATCH(B232,'Câu hỏi'!$A$2:$A$21,0)),"Mã không có"))</f>
        <v/>
      </c>
      <c r="D232" s="10"/>
      <c r="E232" s="10"/>
      <c r="F232" s="10"/>
      <c r="G232" s="10"/>
      <c r="H232" s="10"/>
      <c r="I232" s="10"/>
      <c r="J232" s="10"/>
      <c r="K232" s="10"/>
      <c r="L232" s="10"/>
      <c r="M232" s="10"/>
    </row>
    <row r="233" customFormat="false" ht="15" hidden="false" customHeight="false" outlineLevel="0" collapsed="false">
      <c r="A233" s="9"/>
      <c r="B233" s="10"/>
      <c r="C233" s="11" t="str">
        <f aca="false">IF(B233="","",IFERROR(INDEX('Câu hỏi'!$D$2:$D$21,MATCH(B233,'Câu hỏi'!$A$2:$A$21,0)),"Mã không có"))</f>
        <v/>
      </c>
      <c r="D233" s="10"/>
      <c r="E233" s="10"/>
      <c r="F233" s="10"/>
      <c r="G233" s="10"/>
      <c r="H233" s="10"/>
      <c r="I233" s="10"/>
      <c r="J233" s="10"/>
      <c r="K233" s="10"/>
      <c r="L233" s="10"/>
      <c r="M233" s="10"/>
    </row>
    <row r="234" customFormat="false" ht="15" hidden="false" customHeight="false" outlineLevel="0" collapsed="false">
      <c r="A234" s="9"/>
      <c r="B234" s="10"/>
      <c r="C234" s="11" t="str">
        <f aca="false">IF(B234="","",IFERROR(INDEX('Câu hỏi'!$D$2:$D$21,MATCH(B234,'Câu hỏi'!$A$2:$A$21,0)),"Mã không có"))</f>
        <v/>
      </c>
      <c r="D234" s="10"/>
      <c r="E234" s="10"/>
      <c r="F234" s="10"/>
      <c r="G234" s="10"/>
      <c r="H234" s="10"/>
      <c r="I234" s="10"/>
      <c r="J234" s="10"/>
      <c r="K234" s="10"/>
      <c r="L234" s="10"/>
      <c r="M234" s="10"/>
    </row>
    <row r="235" customFormat="false" ht="15" hidden="false" customHeight="false" outlineLevel="0" collapsed="false">
      <c r="A235" s="9"/>
      <c r="B235" s="10"/>
      <c r="C235" s="11" t="str">
        <f aca="false">IF(B235="","",IFERROR(INDEX('Câu hỏi'!$D$2:$D$21,MATCH(B235,'Câu hỏi'!$A$2:$A$21,0)),"Mã không có"))</f>
        <v/>
      </c>
      <c r="D235" s="10"/>
      <c r="E235" s="10"/>
      <c r="F235" s="10"/>
      <c r="G235" s="10"/>
      <c r="H235" s="10"/>
      <c r="I235" s="10"/>
      <c r="J235" s="10"/>
      <c r="K235" s="10"/>
      <c r="L235" s="10"/>
      <c r="M235" s="10"/>
    </row>
    <row r="236" customFormat="false" ht="15" hidden="false" customHeight="false" outlineLevel="0" collapsed="false">
      <c r="A236" s="9"/>
      <c r="B236" s="10"/>
      <c r="C236" s="11" t="str">
        <f aca="false">IF(B236="","",IFERROR(INDEX('Câu hỏi'!$D$2:$D$21,MATCH(B236,'Câu hỏi'!$A$2:$A$21,0)),"Mã không có"))</f>
        <v/>
      </c>
      <c r="D236" s="10"/>
      <c r="E236" s="10"/>
      <c r="F236" s="10"/>
      <c r="G236" s="10"/>
      <c r="H236" s="10"/>
      <c r="I236" s="10"/>
      <c r="J236" s="10"/>
      <c r="K236" s="10"/>
      <c r="L236" s="10"/>
      <c r="M236" s="10"/>
    </row>
    <row r="237" customFormat="false" ht="15" hidden="false" customHeight="false" outlineLevel="0" collapsed="false">
      <c r="A237" s="9"/>
      <c r="B237" s="10"/>
      <c r="C237" s="11" t="str">
        <f aca="false">IF(B237="","",IFERROR(INDEX('Câu hỏi'!$D$2:$D$21,MATCH(B237,'Câu hỏi'!$A$2:$A$21,0)),"Mã không có"))</f>
        <v/>
      </c>
      <c r="D237" s="10"/>
      <c r="E237" s="10"/>
      <c r="F237" s="10"/>
      <c r="G237" s="10"/>
      <c r="H237" s="10"/>
      <c r="I237" s="10"/>
      <c r="J237" s="10"/>
      <c r="K237" s="10"/>
      <c r="L237" s="10"/>
      <c r="M237" s="10"/>
    </row>
    <row r="238" customFormat="false" ht="15" hidden="false" customHeight="false" outlineLevel="0" collapsed="false">
      <c r="A238" s="9"/>
      <c r="B238" s="10"/>
      <c r="C238" s="11" t="str">
        <f aca="false">IF(B238="","",IFERROR(INDEX('Câu hỏi'!$D$2:$D$21,MATCH(B238,'Câu hỏi'!$A$2:$A$21,0)),"Mã không có"))</f>
        <v/>
      </c>
      <c r="D238" s="10"/>
      <c r="E238" s="10"/>
      <c r="F238" s="10"/>
      <c r="G238" s="10"/>
      <c r="H238" s="10"/>
      <c r="I238" s="10"/>
      <c r="J238" s="10"/>
      <c r="K238" s="10"/>
      <c r="L238" s="10"/>
      <c r="M238" s="10"/>
    </row>
    <row r="239" customFormat="false" ht="15" hidden="false" customHeight="false" outlineLevel="0" collapsed="false">
      <c r="A239" s="9"/>
      <c r="B239" s="10"/>
      <c r="C239" s="11" t="str">
        <f aca="false">IF(B239="","",IFERROR(INDEX('Câu hỏi'!$D$2:$D$21,MATCH(B239,'Câu hỏi'!$A$2:$A$21,0)),"Mã không có"))</f>
        <v/>
      </c>
      <c r="D239" s="10"/>
      <c r="E239" s="10"/>
      <c r="F239" s="10"/>
      <c r="G239" s="10"/>
      <c r="H239" s="10"/>
      <c r="I239" s="10"/>
      <c r="J239" s="10"/>
      <c r="K239" s="10"/>
      <c r="L239" s="10"/>
      <c r="M239" s="10"/>
    </row>
    <row r="240" customFormat="false" ht="15" hidden="false" customHeight="false" outlineLevel="0" collapsed="false">
      <c r="A240" s="9"/>
      <c r="B240" s="10"/>
      <c r="C240" s="11" t="str">
        <f aca="false">IF(B240="","",IFERROR(INDEX('Câu hỏi'!$D$2:$D$21,MATCH(B240,'Câu hỏi'!$A$2:$A$21,0)),"Mã không có"))</f>
        <v/>
      </c>
      <c r="D240" s="10"/>
      <c r="E240" s="10"/>
      <c r="F240" s="10"/>
      <c r="G240" s="10"/>
      <c r="H240" s="10"/>
      <c r="I240" s="10"/>
      <c r="J240" s="10"/>
      <c r="K240" s="10"/>
      <c r="L240" s="10"/>
      <c r="M240" s="10"/>
    </row>
    <row r="241" customFormat="false" ht="15" hidden="false" customHeight="false" outlineLevel="0" collapsed="false">
      <c r="A241" s="9"/>
      <c r="B241" s="10"/>
      <c r="C241" s="11" t="str">
        <f aca="false">IF(B241="","",IFERROR(INDEX('Câu hỏi'!$D$2:$D$21,MATCH(B241,'Câu hỏi'!$A$2:$A$21,0)),"Mã không có"))</f>
        <v/>
      </c>
      <c r="D241" s="10"/>
      <c r="E241" s="10"/>
      <c r="F241" s="10"/>
      <c r="G241" s="10"/>
      <c r="H241" s="10"/>
      <c r="I241" s="10"/>
      <c r="J241" s="10"/>
      <c r="K241" s="10"/>
      <c r="L241" s="10"/>
      <c r="M241" s="10"/>
    </row>
    <row r="242" customFormat="false" ht="15" hidden="false" customHeight="false" outlineLevel="0" collapsed="false">
      <c r="A242" s="9"/>
      <c r="B242" s="10"/>
      <c r="C242" s="11" t="str">
        <f aca="false">IF(B242="","",IFERROR(INDEX('Câu hỏi'!$D$2:$D$21,MATCH(B242,'Câu hỏi'!$A$2:$A$21,0)),"Mã không có"))</f>
        <v/>
      </c>
      <c r="D242" s="10"/>
      <c r="E242" s="10"/>
      <c r="F242" s="10"/>
      <c r="G242" s="10"/>
      <c r="H242" s="10"/>
      <c r="I242" s="10"/>
      <c r="J242" s="10"/>
      <c r="K242" s="10"/>
      <c r="L242" s="10"/>
      <c r="M242" s="10"/>
    </row>
    <row r="243" customFormat="false" ht="15" hidden="false" customHeight="false" outlineLevel="0" collapsed="false">
      <c r="A243" s="9"/>
      <c r="B243" s="10"/>
      <c r="C243" s="11" t="str">
        <f aca="false">IF(B243="","",IFERROR(INDEX('Câu hỏi'!$D$2:$D$21,MATCH(B243,'Câu hỏi'!$A$2:$A$21,0)),"Mã không có"))</f>
        <v/>
      </c>
      <c r="D243" s="10"/>
      <c r="E243" s="10"/>
      <c r="F243" s="10"/>
      <c r="G243" s="10"/>
      <c r="H243" s="10"/>
      <c r="I243" s="10"/>
      <c r="J243" s="10"/>
      <c r="K243" s="10"/>
      <c r="L243" s="10"/>
      <c r="M243" s="10"/>
    </row>
    <row r="244" customFormat="false" ht="15" hidden="false" customHeight="false" outlineLevel="0" collapsed="false">
      <c r="A244" s="9"/>
      <c r="B244" s="10"/>
      <c r="C244" s="11" t="str">
        <f aca="false">IF(B244="","",IFERROR(INDEX('Câu hỏi'!$D$2:$D$21,MATCH(B244,'Câu hỏi'!$A$2:$A$21,0)),"Mã không có"))</f>
        <v/>
      </c>
      <c r="D244" s="10"/>
      <c r="E244" s="10"/>
      <c r="F244" s="10"/>
      <c r="G244" s="10"/>
      <c r="H244" s="10"/>
      <c r="I244" s="10"/>
      <c r="J244" s="10"/>
      <c r="K244" s="10"/>
      <c r="L244" s="10"/>
      <c r="M244" s="10"/>
    </row>
    <row r="245" customFormat="false" ht="15" hidden="false" customHeight="false" outlineLevel="0" collapsed="false">
      <c r="A245" s="9"/>
      <c r="B245" s="10"/>
      <c r="C245" s="11" t="str">
        <f aca="false">IF(B245="","",IFERROR(INDEX('Câu hỏi'!$D$2:$D$21,MATCH(B245,'Câu hỏi'!$A$2:$A$21,0)),"Mã không có"))</f>
        <v/>
      </c>
      <c r="D245" s="10"/>
      <c r="E245" s="10"/>
      <c r="F245" s="10"/>
      <c r="G245" s="10"/>
      <c r="H245" s="10"/>
      <c r="I245" s="10"/>
      <c r="J245" s="10"/>
      <c r="K245" s="10"/>
      <c r="L245" s="10"/>
      <c r="M245" s="10"/>
    </row>
    <row r="246" customFormat="false" ht="15" hidden="false" customHeight="false" outlineLevel="0" collapsed="false">
      <c r="A246" s="9"/>
      <c r="B246" s="10"/>
      <c r="C246" s="11" t="str">
        <f aca="false">IF(B246="","",IFERROR(INDEX('Câu hỏi'!$D$2:$D$21,MATCH(B246,'Câu hỏi'!$A$2:$A$21,0)),"Mã không có"))</f>
        <v/>
      </c>
      <c r="D246" s="10"/>
      <c r="E246" s="10"/>
      <c r="F246" s="10"/>
      <c r="G246" s="10"/>
      <c r="H246" s="10"/>
      <c r="I246" s="10"/>
      <c r="J246" s="10"/>
      <c r="K246" s="10"/>
      <c r="L246" s="10"/>
      <c r="M246" s="10"/>
    </row>
    <row r="247" customFormat="false" ht="15" hidden="false" customHeight="false" outlineLevel="0" collapsed="false">
      <c r="A247" s="9"/>
      <c r="B247" s="10"/>
      <c r="C247" s="11" t="str">
        <f aca="false">IF(B247="","",IFERROR(INDEX('Câu hỏi'!$D$2:$D$21,MATCH(B247,'Câu hỏi'!$A$2:$A$21,0)),"Mã không có"))</f>
        <v/>
      </c>
      <c r="D247" s="10"/>
      <c r="E247" s="10"/>
      <c r="F247" s="10"/>
      <c r="G247" s="10"/>
      <c r="H247" s="10"/>
      <c r="I247" s="10"/>
      <c r="J247" s="10"/>
      <c r="K247" s="10"/>
      <c r="L247" s="10"/>
      <c r="M247" s="10"/>
    </row>
    <row r="248" customFormat="false" ht="15" hidden="false" customHeight="false" outlineLevel="0" collapsed="false">
      <c r="A248" s="9"/>
      <c r="B248" s="10"/>
      <c r="C248" s="11" t="str">
        <f aca="false">IF(B248="","",IFERROR(INDEX('Câu hỏi'!$D$2:$D$21,MATCH(B248,'Câu hỏi'!$A$2:$A$21,0)),"Mã không có"))</f>
        <v/>
      </c>
      <c r="D248" s="10"/>
      <c r="E248" s="10"/>
      <c r="F248" s="10"/>
      <c r="G248" s="10"/>
      <c r="H248" s="10"/>
      <c r="I248" s="10"/>
      <c r="J248" s="10"/>
      <c r="K248" s="10"/>
      <c r="L248" s="10"/>
      <c r="M248" s="10"/>
    </row>
    <row r="249" customFormat="false" ht="15" hidden="false" customHeight="false" outlineLevel="0" collapsed="false">
      <c r="A249" s="9"/>
      <c r="B249" s="10"/>
      <c r="C249" s="11" t="str">
        <f aca="false">IF(B249="","",IFERROR(INDEX('Câu hỏi'!$D$2:$D$21,MATCH(B249,'Câu hỏi'!$A$2:$A$21,0)),"Mã không có"))</f>
        <v/>
      </c>
      <c r="D249" s="10"/>
      <c r="E249" s="10"/>
      <c r="F249" s="10"/>
      <c r="G249" s="10"/>
      <c r="H249" s="10"/>
      <c r="I249" s="10"/>
      <c r="J249" s="10"/>
      <c r="K249" s="10"/>
      <c r="L249" s="10"/>
      <c r="M249" s="10"/>
    </row>
    <row r="250" customFormat="false" ht="15" hidden="false" customHeight="false" outlineLevel="0" collapsed="false">
      <c r="A250" s="9"/>
      <c r="B250" s="10"/>
      <c r="C250" s="11" t="str">
        <f aca="false">IF(B250="","",IFERROR(INDEX('Câu hỏi'!$D$2:$D$21,MATCH(B250,'Câu hỏi'!$A$2:$A$21,0)),"Mã không có"))</f>
        <v/>
      </c>
      <c r="D250" s="10"/>
      <c r="E250" s="10"/>
      <c r="F250" s="10"/>
      <c r="G250" s="10"/>
      <c r="H250" s="10"/>
      <c r="I250" s="10"/>
      <c r="J250" s="10"/>
      <c r="K250" s="10"/>
      <c r="L250" s="10"/>
      <c r="M250" s="10"/>
    </row>
    <row r="251" customFormat="false" ht="15" hidden="false" customHeight="false" outlineLevel="0" collapsed="false">
      <c r="A251" s="9"/>
      <c r="B251" s="10"/>
      <c r="C251" s="11" t="str">
        <f aca="false">IF(B251="","",IFERROR(INDEX('Câu hỏi'!$D$2:$D$21,MATCH(B251,'Câu hỏi'!$A$2:$A$21,0)),"Mã không có"))</f>
        <v/>
      </c>
      <c r="D251" s="10"/>
      <c r="E251" s="10"/>
      <c r="F251" s="10"/>
      <c r="G251" s="10"/>
      <c r="H251" s="10"/>
      <c r="I251" s="10"/>
      <c r="J251" s="10"/>
      <c r="K251" s="10"/>
      <c r="L251" s="10"/>
      <c r="M251" s="10"/>
    </row>
    <row r="252" customFormat="false" ht="15" hidden="false" customHeight="false" outlineLevel="0" collapsed="false">
      <c r="A252" s="9"/>
      <c r="B252" s="10"/>
      <c r="C252" s="11" t="str">
        <f aca="false">IF(B252="","",IFERROR(INDEX('Câu hỏi'!$D$2:$D$21,MATCH(B252,'Câu hỏi'!$A$2:$A$21,0)),"Mã không có"))</f>
        <v/>
      </c>
      <c r="D252" s="10"/>
      <c r="E252" s="10"/>
      <c r="F252" s="10"/>
      <c r="G252" s="10"/>
      <c r="H252" s="10"/>
      <c r="I252" s="10"/>
      <c r="J252" s="10"/>
      <c r="K252" s="10"/>
      <c r="L252" s="10"/>
      <c r="M252" s="10"/>
    </row>
    <row r="253" customFormat="false" ht="15" hidden="false" customHeight="false" outlineLevel="0" collapsed="false">
      <c r="A253" s="9"/>
      <c r="B253" s="10"/>
      <c r="C253" s="11" t="str">
        <f aca="false">IF(B253="","",IFERROR(INDEX('Câu hỏi'!$D$2:$D$21,MATCH(B253,'Câu hỏi'!$A$2:$A$21,0)),"Mã không có"))</f>
        <v/>
      </c>
      <c r="D253" s="10"/>
      <c r="E253" s="10"/>
      <c r="F253" s="10"/>
      <c r="G253" s="10"/>
      <c r="H253" s="10"/>
      <c r="I253" s="10"/>
      <c r="J253" s="10"/>
      <c r="K253" s="10"/>
      <c r="L253" s="10"/>
      <c r="M253" s="10"/>
    </row>
    <row r="254" customFormat="false" ht="15" hidden="false" customHeight="false" outlineLevel="0" collapsed="false">
      <c r="A254" s="9"/>
      <c r="B254" s="10"/>
      <c r="C254" s="11" t="str">
        <f aca="false">IF(B254="","",IFERROR(INDEX('Câu hỏi'!$D$2:$D$21,MATCH(B254,'Câu hỏi'!$A$2:$A$21,0)),"Mã không có"))</f>
        <v/>
      </c>
      <c r="D254" s="10"/>
      <c r="E254" s="10"/>
      <c r="F254" s="10"/>
      <c r="G254" s="10"/>
      <c r="H254" s="10"/>
      <c r="I254" s="10"/>
      <c r="J254" s="10"/>
      <c r="K254" s="10"/>
      <c r="L254" s="10"/>
      <c r="M254" s="10"/>
    </row>
    <row r="255" customFormat="false" ht="15" hidden="false" customHeight="false" outlineLevel="0" collapsed="false">
      <c r="A255" s="9"/>
      <c r="B255" s="10"/>
      <c r="C255" s="11" t="str">
        <f aca="false">IF(B255="","",IFERROR(INDEX('Câu hỏi'!$D$2:$D$21,MATCH(B255,'Câu hỏi'!$A$2:$A$21,0)),"Mã không có"))</f>
        <v/>
      </c>
      <c r="D255" s="10"/>
      <c r="E255" s="10"/>
      <c r="F255" s="10"/>
      <c r="G255" s="10"/>
      <c r="H255" s="10"/>
      <c r="I255" s="10"/>
      <c r="J255" s="10"/>
      <c r="K255" s="10"/>
      <c r="L255" s="10"/>
      <c r="M255" s="10"/>
    </row>
    <row r="256" customFormat="false" ht="15" hidden="false" customHeight="false" outlineLevel="0" collapsed="false">
      <c r="A256" s="9"/>
      <c r="B256" s="10"/>
      <c r="C256" s="11" t="str">
        <f aca="false">IF(B256="","",IFERROR(INDEX('Câu hỏi'!$D$2:$D$21,MATCH(B256,'Câu hỏi'!$A$2:$A$21,0)),"Mã không có"))</f>
        <v/>
      </c>
      <c r="D256" s="10"/>
      <c r="E256" s="10"/>
      <c r="F256" s="10"/>
      <c r="G256" s="10"/>
      <c r="H256" s="10"/>
      <c r="I256" s="10"/>
      <c r="J256" s="10"/>
      <c r="K256" s="10"/>
      <c r="L256" s="10"/>
      <c r="M256" s="10"/>
    </row>
    <row r="257" customFormat="false" ht="15" hidden="false" customHeight="false" outlineLevel="0" collapsed="false">
      <c r="A257" s="9"/>
      <c r="B257" s="10"/>
      <c r="C257" s="11" t="str">
        <f aca="false">IF(B257="","",IFERROR(INDEX('Câu hỏi'!$D$2:$D$21,MATCH(B257,'Câu hỏi'!$A$2:$A$21,0)),"Mã không có"))</f>
        <v/>
      </c>
      <c r="D257" s="10"/>
      <c r="E257" s="10"/>
      <c r="F257" s="10"/>
      <c r="G257" s="10"/>
      <c r="H257" s="10"/>
      <c r="I257" s="10"/>
      <c r="J257" s="10"/>
      <c r="K257" s="10"/>
      <c r="L257" s="10"/>
      <c r="M257" s="10"/>
    </row>
    <row r="258" customFormat="false" ht="15" hidden="false" customHeight="false" outlineLevel="0" collapsed="false">
      <c r="A258" s="9"/>
      <c r="B258" s="10"/>
      <c r="C258" s="11" t="str">
        <f aca="false">IF(B258="","",IFERROR(INDEX('Câu hỏi'!$D$2:$D$21,MATCH(B258,'Câu hỏi'!$A$2:$A$21,0)),"Mã không có"))</f>
        <v/>
      </c>
      <c r="D258" s="10"/>
      <c r="E258" s="10"/>
      <c r="F258" s="10"/>
      <c r="G258" s="10"/>
      <c r="H258" s="10"/>
      <c r="I258" s="10"/>
      <c r="J258" s="10"/>
      <c r="K258" s="10"/>
      <c r="L258" s="10"/>
      <c r="M258" s="10"/>
    </row>
    <row r="259" customFormat="false" ht="15" hidden="false" customHeight="false" outlineLevel="0" collapsed="false">
      <c r="A259" s="9"/>
      <c r="B259" s="10"/>
      <c r="C259" s="11" t="str">
        <f aca="false">IF(B259="","",IFERROR(INDEX('Câu hỏi'!$D$2:$D$21,MATCH(B259,'Câu hỏi'!$A$2:$A$21,0)),"Mã không có"))</f>
        <v/>
      </c>
      <c r="D259" s="10"/>
      <c r="E259" s="10"/>
      <c r="F259" s="10"/>
      <c r="G259" s="10"/>
      <c r="H259" s="10"/>
      <c r="I259" s="10"/>
      <c r="J259" s="10"/>
      <c r="K259" s="10"/>
      <c r="L259" s="10"/>
      <c r="M259" s="10"/>
    </row>
    <row r="260" customFormat="false" ht="15" hidden="false" customHeight="false" outlineLevel="0" collapsed="false">
      <c r="A260" s="9"/>
      <c r="B260" s="10"/>
      <c r="C260" s="11" t="str">
        <f aca="false">IF(B260="","",IFERROR(INDEX('Câu hỏi'!$D$2:$D$21,MATCH(B260,'Câu hỏi'!$A$2:$A$21,0)),"Mã không có"))</f>
        <v/>
      </c>
      <c r="D260" s="10"/>
      <c r="E260" s="10"/>
      <c r="F260" s="10"/>
      <c r="G260" s="10"/>
      <c r="H260" s="10"/>
      <c r="I260" s="10"/>
      <c r="J260" s="10"/>
      <c r="K260" s="10"/>
      <c r="L260" s="10"/>
      <c r="M260" s="10"/>
    </row>
    <row r="261" customFormat="false" ht="15" hidden="false" customHeight="false" outlineLevel="0" collapsed="false">
      <c r="A261" s="9"/>
      <c r="B261" s="10"/>
      <c r="C261" s="11" t="str">
        <f aca="false">IF(B261="","",IFERROR(INDEX('Câu hỏi'!$D$2:$D$21,MATCH(B261,'Câu hỏi'!$A$2:$A$21,0)),"Mã không có"))</f>
        <v/>
      </c>
      <c r="D261" s="10"/>
      <c r="E261" s="10"/>
      <c r="F261" s="10"/>
      <c r="G261" s="10"/>
      <c r="H261" s="10"/>
      <c r="I261" s="10"/>
      <c r="J261" s="10"/>
      <c r="K261" s="10"/>
      <c r="L261" s="10"/>
      <c r="M261" s="10"/>
    </row>
    <row r="262" customFormat="false" ht="15" hidden="false" customHeight="false" outlineLevel="0" collapsed="false">
      <c r="A262" s="9"/>
      <c r="B262" s="10"/>
      <c r="C262" s="11" t="str">
        <f aca="false">IF(B262="","",IFERROR(INDEX('Câu hỏi'!$D$2:$D$21,MATCH(B262,'Câu hỏi'!$A$2:$A$21,0)),"Mã không có"))</f>
        <v/>
      </c>
      <c r="D262" s="10"/>
      <c r="E262" s="10"/>
      <c r="F262" s="10"/>
      <c r="G262" s="10"/>
      <c r="H262" s="10"/>
      <c r="I262" s="10"/>
      <c r="J262" s="10"/>
      <c r="K262" s="10"/>
      <c r="L262" s="10"/>
      <c r="M262" s="10"/>
    </row>
    <row r="263" customFormat="false" ht="15" hidden="false" customHeight="false" outlineLevel="0" collapsed="false">
      <c r="A263" s="9"/>
      <c r="B263" s="10"/>
      <c r="C263" s="11" t="str">
        <f aca="false">IF(B263="","",IFERROR(INDEX('Câu hỏi'!$D$2:$D$21,MATCH(B263,'Câu hỏi'!$A$2:$A$21,0)),"Mã không có"))</f>
        <v/>
      </c>
      <c r="D263" s="10"/>
      <c r="E263" s="10"/>
      <c r="F263" s="10"/>
      <c r="G263" s="10"/>
      <c r="H263" s="10"/>
      <c r="I263" s="10"/>
      <c r="J263" s="10"/>
      <c r="K263" s="10"/>
      <c r="L263" s="10"/>
      <c r="M263" s="10"/>
    </row>
    <row r="264" customFormat="false" ht="15" hidden="false" customHeight="false" outlineLevel="0" collapsed="false">
      <c r="A264" s="9"/>
      <c r="B264" s="10"/>
      <c r="C264" s="11" t="str">
        <f aca="false">IF(B264="","",IFERROR(INDEX('Câu hỏi'!$D$2:$D$21,MATCH(B264,'Câu hỏi'!$A$2:$A$21,0)),"Mã không có"))</f>
        <v/>
      </c>
      <c r="D264" s="10"/>
      <c r="E264" s="10"/>
      <c r="F264" s="10"/>
      <c r="G264" s="10"/>
      <c r="H264" s="10"/>
      <c r="I264" s="10"/>
      <c r="J264" s="10"/>
      <c r="K264" s="10"/>
      <c r="L264" s="10"/>
      <c r="M264" s="10"/>
    </row>
    <row r="265" customFormat="false" ht="15" hidden="false" customHeight="false" outlineLevel="0" collapsed="false">
      <c r="A265" s="9"/>
      <c r="B265" s="10"/>
      <c r="C265" s="11" t="str">
        <f aca="false">IF(B265="","",IFERROR(INDEX('Câu hỏi'!$D$2:$D$21,MATCH(B265,'Câu hỏi'!$A$2:$A$21,0)),"Mã không có"))</f>
        <v/>
      </c>
      <c r="D265" s="10"/>
      <c r="E265" s="10"/>
      <c r="F265" s="10"/>
      <c r="G265" s="10"/>
      <c r="H265" s="10"/>
      <c r="I265" s="10"/>
      <c r="J265" s="10"/>
      <c r="K265" s="10"/>
      <c r="L265" s="10"/>
      <c r="M265" s="10"/>
    </row>
    <row r="266" customFormat="false" ht="15" hidden="false" customHeight="false" outlineLevel="0" collapsed="false">
      <c r="A266" s="9"/>
      <c r="B266" s="10"/>
      <c r="C266" s="11" t="str">
        <f aca="false">IF(B266="","",IFERROR(INDEX('Câu hỏi'!$D$2:$D$21,MATCH(B266,'Câu hỏi'!$A$2:$A$21,0)),"Mã không có"))</f>
        <v/>
      </c>
      <c r="D266" s="10"/>
      <c r="E266" s="10"/>
      <c r="F266" s="10"/>
      <c r="G266" s="10"/>
      <c r="H266" s="10"/>
      <c r="I266" s="10"/>
      <c r="J266" s="10"/>
      <c r="K266" s="10"/>
      <c r="L266" s="10"/>
      <c r="M266" s="10"/>
    </row>
    <row r="267" customFormat="false" ht="15" hidden="false" customHeight="false" outlineLevel="0" collapsed="false">
      <c r="A267" s="9"/>
      <c r="B267" s="10"/>
      <c r="C267" s="11" t="str">
        <f aca="false">IF(B267="","",IFERROR(INDEX('Câu hỏi'!$D$2:$D$21,MATCH(B267,'Câu hỏi'!$A$2:$A$21,0)),"Mã không có"))</f>
        <v/>
      </c>
      <c r="D267" s="10"/>
      <c r="E267" s="10"/>
      <c r="F267" s="10"/>
      <c r="G267" s="10"/>
      <c r="H267" s="10"/>
      <c r="I267" s="10"/>
      <c r="J267" s="10"/>
      <c r="K267" s="10"/>
      <c r="L267" s="10"/>
      <c r="M267" s="10"/>
    </row>
    <row r="268" customFormat="false" ht="15" hidden="false" customHeight="false" outlineLevel="0" collapsed="false">
      <c r="A268" s="9"/>
      <c r="B268" s="10"/>
      <c r="C268" s="11" t="str">
        <f aca="false">IF(B268="","",IFERROR(INDEX('Câu hỏi'!$D$2:$D$21,MATCH(B268,'Câu hỏi'!$A$2:$A$21,0)),"Mã không có"))</f>
        <v/>
      </c>
      <c r="D268" s="10"/>
      <c r="E268" s="10"/>
      <c r="F268" s="10"/>
      <c r="G268" s="10"/>
      <c r="H268" s="10"/>
      <c r="I268" s="10"/>
      <c r="J268" s="10"/>
      <c r="K268" s="10"/>
      <c r="L268" s="10"/>
      <c r="M268" s="10"/>
    </row>
    <row r="269" customFormat="false" ht="15" hidden="false" customHeight="false" outlineLevel="0" collapsed="false">
      <c r="A269" s="9"/>
      <c r="B269" s="10"/>
      <c r="C269" s="11" t="str">
        <f aca="false">IF(B269="","",IFERROR(INDEX('Câu hỏi'!$D$2:$D$21,MATCH(B269,'Câu hỏi'!$A$2:$A$21,0)),"Mã không có"))</f>
        <v/>
      </c>
      <c r="D269" s="10"/>
      <c r="E269" s="10"/>
      <c r="F269" s="10"/>
      <c r="G269" s="10"/>
      <c r="H269" s="10"/>
      <c r="I269" s="10"/>
      <c r="J269" s="10"/>
      <c r="K269" s="10"/>
      <c r="L269" s="10"/>
      <c r="M269" s="10"/>
    </row>
    <row r="270" customFormat="false" ht="15" hidden="false" customHeight="false" outlineLevel="0" collapsed="false">
      <c r="A270" s="9"/>
      <c r="B270" s="10"/>
      <c r="C270" s="11" t="str">
        <f aca="false">IF(B270="","",IFERROR(INDEX('Câu hỏi'!$D$2:$D$21,MATCH(B270,'Câu hỏi'!$A$2:$A$21,0)),"Mã không có"))</f>
        <v/>
      </c>
      <c r="D270" s="10"/>
      <c r="E270" s="10"/>
      <c r="F270" s="10"/>
      <c r="G270" s="10"/>
      <c r="H270" s="10"/>
      <c r="I270" s="10"/>
      <c r="J270" s="10"/>
      <c r="K270" s="10"/>
      <c r="L270" s="10"/>
      <c r="M270" s="10"/>
    </row>
    <row r="271" customFormat="false" ht="15" hidden="false" customHeight="false" outlineLevel="0" collapsed="false">
      <c r="A271" s="9"/>
      <c r="B271" s="10"/>
      <c r="C271" s="11" t="str">
        <f aca="false">IF(B271="","",IFERROR(INDEX('Câu hỏi'!$D$2:$D$21,MATCH(B271,'Câu hỏi'!$A$2:$A$21,0)),"Mã không có"))</f>
        <v/>
      </c>
      <c r="D271" s="10"/>
      <c r="E271" s="10"/>
      <c r="F271" s="10"/>
      <c r="G271" s="10"/>
      <c r="H271" s="10"/>
      <c r="I271" s="10"/>
      <c r="J271" s="10"/>
      <c r="K271" s="10"/>
      <c r="L271" s="10"/>
      <c r="M271" s="10"/>
    </row>
    <row r="272" customFormat="false" ht="15" hidden="false" customHeight="false" outlineLevel="0" collapsed="false">
      <c r="A272" s="9"/>
      <c r="B272" s="10"/>
      <c r="C272" s="11" t="str">
        <f aca="false">IF(B272="","",IFERROR(INDEX('Câu hỏi'!$D$2:$D$21,MATCH(B272,'Câu hỏi'!$A$2:$A$21,0)),"Mã không có"))</f>
        <v/>
      </c>
      <c r="D272" s="10"/>
      <c r="E272" s="10"/>
      <c r="F272" s="10"/>
      <c r="G272" s="10"/>
      <c r="H272" s="10"/>
      <c r="I272" s="10"/>
      <c r="J272" s="10"/>
      <c r="K272" s="10"/>
      <c r="L272" s="10"/>
      <c r="M272" s="10"/>
    </row>
    <row r="273" customFormat="false" ht="15" hidden="false" customHeight="false" outlineLevel="0" collapsed="false">
      <c r="A273" s="9"/>
      <c r="B273" s="10"/>
      <c r="C273" s="11" t="str">
        <f aca="false">IF(B273="","",IFERROR(INDEX('Câu hỏi'!$D$2:$D$21,MATCH(B273,'Câu hỏi'!$A$2:$A$21,0)),"Mã không có"))</f>
        <v/>
      </c>
      <c r="D273" s="10"/>
      <c r="E273" s="10"/>
      <c r="F273" s="10"/>
      <c r="G273" s="10"/>
      <c r="H273" s="10"/>
      <c r="I273" s="10"/>
      <c r="J273" s="10"/>
      <c r="K273" s="10"/>
      <c r="L273" s="10"/>
      <c r="M273" s="10"/>
    </row>
    <row r="274" customFormat="false" ht="15" hidden="false" customHeight="false" outlineLevel="0" collapsed="false">
      <c r="A274" s="9"/>
      <c r="B274" s="10"/>
      <c r="C274" s="11" t="str">
        <f aca="false">IF(B274="","",IFERROR(INDEX('Câu hỏi'!$D$2:$D$21,MATCH(B274,'Câu hỏi'!$A$2:$A$21,0)),"Mã không có"))</f>
        <v/>
      </c>
      <c r="D274" s="10"/>
      <c r="E274" s="10"/>
      <c r="F274" s="10"/>
      <c r="G274" s="10"/>
      <c r="H274" s="10"/>
      <c r="I274" s="10"/>
      <c r="J274" s="10"/>
      <c r="K274" s="10"/>
      <c r="L274" s="10"/>
      <c r="M274" s="10"/>
    </row>
    <row r="275" customFormat="false" ht="15" hidden="false" customHeight="false" outlineLevel="0" collapsed="false">
      <c r="A275" s="9"/>
      <c r="B275" s="10"/>
      <c r="C275" s="11" t="str">
        <f aca="false">IF(B275="","",IFERROR(INDEX('Câu hỏi'!$D$2:$D$21,MATCH(B275,'Câu hỏi'!$A$2:$A$21,0)),"Mã không có"))</f>
        <v/>
      </c>
      <c r="D275" s="10"/>
      <c r="E275" s="10"/>
      <c r="F275" s="10"/>
      <c r="G275" s="10"/>
      <c r="H275" s="10"/>
      <c r="I275" s="10"/>
      <c r="J275" s="10"/>
      <c r="K275" s="10"/>
      <c r="L275" s="10"/>
      <c r="M275" s="10"/>
    </row>
    <row r="276" customFormat="false" ht="15" hidden="false" customHeight="false" outlineLevel="0" collapsed="false">
      <c r="A276" s="9"/>
      <c r="B276" s="10"/>
      <c r="C276" s="11" t="str">
        <f aca="false">IF(B276="","",IFERROR(INDEX('Câu hỏi'!$D$2:$D$21,MATCH(B276,'Câu hỏi'!$A$2:$A$21,0)),"Mã không có"))</f>
        <v/>
      </c>
      <c r="D276" s="10"/>
      <c r="E276" s="10"/>
      <c r="F276" s="10"/>
      <c r="G276" s="10"/>
      <c r="H276" s="10"/>
      <c r="I276" s="10"/>
      <c r="J276" s="10"/>
      <c r="K276" s="10"/>
      <c r="L276" s="10"/>
      <c r="M276" s="10"/>
    </row>
    <row r="277" customFormat="false" ht="15" hidden="false" customHeight="false" outlineLevel="0" collapsed="false">
      <c r="A277" s="9"/>
      <c r="B277" s="10"/>
      <c r="C277" s="11" t="str">
        <f aca="false">IF(B277="","",IFERROR(INDEX('Câu hỏi'!$D$2:$D$21,MATCH(B277,'Câu hỏi'!$A$2:$A$21,0)),"Mã không có"))</f>
        <v/>
      </c>
      <c r="D277" s="10"/>
      <c r="E277" s="10"/>
      <c r="F277" s="10"/>
      <c r="G277" s="10"/>
      <c r="H277" s="10"/>
      <c r="I277" s="10"/>
      <c r="J277" s="10"/>
      <c r="K277" s="10"/>
      <c r="L277" s="10"/>
      <c r="M277" s="10"/>
    </row>
    <row r="278" customFormat="false" ht="15" hidden="false" customHeight="false" outlineLevel="0" collapsed="false">
      <c r="A278" s="9"/>
      <c r="B278" s="10"/>
      <c r="C278" s="11" t="str">
        <f aca="false">IF(B278="","",IFERROR(INDEX('Câu hỏi'!$D$2:$D$21,MATCH(B278,'Câu hỏi'!$A$2:$A$21,0)),"Mã không có"))</f>
        <v/>
      </c>
      <c r="D278" s="10"/>
      <c r="E278" s="10"/>
      <c r="F278" s="10"/>
      <c r="G278" s="10"/>
      <c r="H278" s="10"/>
      <c r="I278" s="10"/>
      <c r="J278" s="10"/>
      <c r="K278" s="10"/>
      <c r="L278" s="10"/>
      <c r="M278" s="10"/>
    </row>
    <row r="279" customFormat="false" ht="15" hidden="false" customHeight="false" outlineLevel="0" collapsed="false">
      <c r="A279" s="9"/>
      <c r="B279" s="10"/>
      <c r="C279" s="11" t="str">
        <f aca="false">IF(B279="","",IFERROR(INDEX('Câu hỏi'!$D$2:$D$21,MATCH(B279,'Câu hỏi'!$A$2:$A$21,0)),"Mã không có"))</f>
        <v/>
      </c>
      <c r="D279" s="10"/>
      <c r="E279" s="10"/>
      <c r="F279" s="10"/>
      <c r="G279" s="10"/>
      <c r="H279" s="10"/>
      <c r="I279" s="10"/>
      <c r="J279" s="10"/>
      <c r="K279" s="10"/>
      <c r="L279" s="10"/>
      <c r="M279" s="10"/>
    </row>
    <row r="280" customFormat="false" ht="15" hidden="false" customHeight="false" outlineLevel="0" collapsed="false">
      <c r="A280" s="9"/>
      <c r="B280" s="10"/>
      <c r="C280" s="11" t="str">
        <f aca="false">IF(B280="","",IFERROR(INDEX('Câu hỏi'!$D$2:$D$21,MATCH(B280,'Câu hỏi'!$A$2:$A$21,0)),"Mã không có"))</f>
        <v/>
      </c>
      <c r="D280" s="10"/>
      <c r="E280" s="10"/>
      <c r="F280" s="10"/>
      <c r="G280" s="10"/>
      <c r="H280" s="10"/>
      <c r="I280" s="10"/>
      <c r="J280" s="10"/>
      <c r="K280" s="10"/>
      <c r="L280" s="10"/>
      <c r="M280" s="10"/>
    </row>
    <row r="281" customFormat="false" ht="15" hidden="false" customHeight="false" outlineLevel="0" collapsed="false">
      <c r="A281" s="9"/>
      <c r="B281" s="10"/>
      <c r="C281" s="11" t="str">
        <f aca="false">IF(B281="","",IFERROR(INDEX('Câu hỏi'!$D$2:$D$21,MATCH(B281,'Câu hỏi'!$A$2:$A$21,0)),"Mã không có"))</f>
        <v/>
      </c>
      <c r="D281" s="10"/>
      <c r="E281" s="10"/>
      <c r="F281" s="10"/>
      <c r="G281" s="10"/>
      <c r="H281" s="10"/>
      <c r="I281" s="10"/>
      <c r="J281" s="10"/>
      <c r="K281" s="10"/>
      <c r="L281" s="10"/>
      <c r="M281" s="10"/>
    </row>
    <row r="282" customFormat="false" ht="15" hidden="false" customHeight="false" outlineLevel="0" collapsed="false">
      <c r="A282" s="9"/>
      <c r="B282" s="10"/>
      <c r="C282" s="11" t="str">
        <f aca="false">IF(B282="","",IFERROR(INDEX('Câu hỏi'!$D$2:$D$21,MATCH(B282,'Câu hỏi'!$A$2:$A$21,0)),"Mã không có"))</f>
        <v/>
      </c>
      <c r="D282" s="10"/>
      <c r="E282" s="10"/>
      <c r="F282" s="10"/>
      <c r="G282" s="10"/>
      <c r="H282" s="10"/>
      <c r="I282" s="10"/>
      <c r="J282" s="10"/>
      <c r="K282" s="10"/>
      <c r="L282" s="10"/>
      <c r="M282" s="10"/>
    </row>
    <row r="283" customFormat="false" ht="15" hidden="false" customHeight="false" outlineLevel="0" collapsed="false">
      <c r="A283" s="9"/>
      <c r="B283" s="10"/>
      <c r="C283" s="11" t="str">
        <f aca="false">IF(B283="","",IFERROR(INDEX('Câu hỏi'!$D$2:$D$21,MATCH(B283,'Câu hỏi'!$A$2:$A$21,0)),"Mã không có"))</f>
        <v/>
      </c>
      <c r="D283" s="10"/>
      <c r="E283" s="10"/>
      <c r="F283" s="10"/>
      <c r="G283" s="10"/>
      <c r="H283" s="10"/>
      <c r="I283" s="10"/>
      <c r="J283" s="10"/>
      <c r="K283" s="10"/>
      <c r="L283" s="10"/>
      <c r="M283" s="10"/>
    </row>
    <row r="284" customFormat="false" ht="15" hidden="false" customHeight="false" outlineLevel="0" collapsed="false">
      <c r="A284" s="9"/>
      <c r="B284" s="10"/>
      <c r="C284" s="11" t="str">
        <f aca="false">IF(B284="","",IFERROR(INDEX('Câu hỏi'!$D$2:$D$21,MATCH(B284,'Câu hỏi'!$A$2:$A$21,0)),"Mã không có"))</f>
        <v/>
      </c>
      <c r="D284" s="10"/>
      <c r="E284" s="10"/>
      <c r="F284" s="10"/>
      <c r="G284" s="10"/>
      <c r="H284" s="10"/>
      <c r="I284" s="10"/>
      <c r="J284" s="10"/>
      <c r="K284" s="10"/>
      <c r="L284" s="10"/>
      <c r="M284" s="10"/>
    </row>
    <row r="285" customFormat="false" ht="15" hidden="false" customHeight="false" outlineLevel="0" collapsed="false">
      <c r="A285" s="9"/>
      <c r="B285" s="10"/>
      <c r="C285" s="11" t="str">
        <f aca="false">IF(B285="","",IFERROR(INDEX('Câu hỏi'!$D$2:$D$21,MATCH(B285,'Câu hỏi'!$A$2:$A$21,0)),"Mã không có"))</f>
        <v/>
      </c>
      <c r="D285" s="10"/>
      <c r="E285" s="10"/>
      <c r="F285" s="10"/>
      <c r="G285" s="10"/>
      <c r="H285" s="10"/>
      <c r="I285" s="10"/>
      <c r="J285" s="10"/>
      <c r="K285" s="10"/>
      <c r="L285" s="10"/>
      <c r="M285" s="10"/>
    </row>
    <row r="286" customFormat="false" ht="15" hidden="false" customHeight="false" outlineLevel="0" collapsed="false">
      <c r="A286" s="9"/>
      <c r="B286" s="10"/>
      <c r="C286" s="11" t="str">
        <f aca="false">IF(B286="","",IFERROR(INDEX('Câu hỏi'!$D$2:$D$21,MATCH(B286,'Câu hỏi'!$A$2:$A$21,0)),"Mã không có"))</f>
        <v/>
      </c>
      <c r="D286" s="10"/>
      <c r="E286" s="10"/>
      <c r="F286" s="10"/>
      <c r="G286" s="10"/>
      <c r="H286" s="10"/>
      <c r="I286" s="10"/>
      <c r="J286" s="10"/>
      <c r="K286" s="10"/>
      <c r="L286" s="10"/>
      <c r="M286" s="10"/>
    </row>
    <row r="287" customFormat="false" ht="15" hidden="false" customHeight="false" outlineLevel="0" collapsed="false">
      <c r="A287" s="9"/>
      <c r="B287" s="10"/>
      <c r="C287" s="11" t="str">
        <f aca="false">IF(B287="","",IFERROR(INDEX('Câu hỏi'!$D$2:$D$21,MATCH(B287,'Câu hỏi'!$A$2:$A$21,0)),"Mã không có"))</f>
        <v/>
      </c>
      <c r="D287" s="10"/>
      <c r="E287" s="10"/>
      <c r="F287" s="10"/>
      <c r="G287" s="10"/>
      <c r="H287" s="10"/>
      <c r="I287" s="10"/>
      <c r="J287" s="10"/>
      <c r="K287" s="10"/>
      <c r="L287" s="10"/>
      <c r="M287" s="10"/>
    </row>
    <row r="288" customFormat="false" ht="15" hidden="false" customHeight="false" outlineLevel="0" collapsed="false">
      <c r="A288" s="9"/>
      <c r="B288" s="10"/>
      <c r="C288" s="11" t="str">
        <f aca="false">IF(B288="","",IFERROR(INDEX('Câu hỏi'!$D$2:$D$21,MATCH(B288,'Câu hỏi'!$A$2:$A$21,0)),"Mã không có"))</f>
        <v/>
      </c>
      <c r="D288" s="10"/>
      <c r="E288" s="10"/>
      <c r="F288" s="10"/>
      <c r="G288" s="10"/>
      <c r="H288" s="10"/>
      <c r="I288" s="10"/>
      <c r="J288" s="10"/>
      <c r="K288" s="10"/>
      <c r="L288" s="10"/>
      <c r="M288" s="10"/>
    </row>
    <row r="289" customFormat="false" ht="15" hidden="false" customHeight="false" outlineLevel="0" collapsed="false">
      <c r="A289" s="9"/>
      <c r="B289" s="10"/>
      <c r="C289" s="11" t="str">
        <f aca="false">IF(B289="","",IFERROR(INDEX('Câu hỏi'!$D$2:$D$21,MATCH(B289,'Câu hỏi'!$A$2:$A$21,0)),"Mã không có"))</f>
        <v/>
      </c>
      <c r="D289" s="10"/>
      <c r="E289" s="10"/>
      <c r="F289" s="10"/>
      <c r="G289" s="10"/>
      <c r="H289" s="10"/>
      <c r="I289" s="10"/>
      <c r="J289" s="10"/>
      <c r="K289" s="10"/>
      <c r="L289" s="10"/>
      <c r="M289" s="10"/>
    </row>
    <row r="290" customFormat="false" ht="15" hidden="false" customHeight="false" outlineLevel="0" collapsed="false">
      <c r="A290" s="9"/>
      <c r="B290" s="10"/>
      <c r="C290" s="11" t="str">
        <f aca="false">IF(B290="","",IFERROR(INDEX('Câu hỏi'!$D$2:$D$21,MATCH(B290,'Câu hỏi'!$A$2:$A$21,0)),"Mã không có"))</f>
        <v/>
      </c>
      <c r="D290" s="10"/>
      <c r="E290" s="10"/>
      <c r="F290" s="10"/>
      <c r="G290" s="10"/>
      <c r="H290" s="10"/>
      <c r="I290" s="10"/>
      <c r="J290" s="10"/>
      <c r="K290" s="10"/>
      <c r="L290" s="10"/>
      <c r="M290" s="10"/>
    </row>
    <row r="291" customFormat="false" ht="15" hidden="false" customHeight="false" outlineLevel="0" collapsed="false">
      <c r="A291" s="9"/>
      <c r="B291" s="10"/>
      <c r="C291" s="11" t="str">
        <f aca="false">IF(B291="","",IFERROR(INDEX('Câu hỏi'!$D$2:$D$21,MATCH(B291,'Câu hỏi'!$A$2:$A$21,0)),"Mã không có"))</f>
        <v/>
      </c>
      <c r="D291" s="10"/>
      <c r="E291" s="10"/>
      <c r="F291" s="10"/>
      <c r="G291" s="10"/>
      <c r="H291" s="10"/>
      <c r="I291" s="10"/>
      <c r="J291" s="10"/>
      <c r="K291" s="10"/>
      <c r="L291" s="10"/>
      <c r="M291" s="10"/>
    </row>
    <row r="292" customFormat="false" ht="15" hidden="false" customHeight="false" outlineLevel="0" collapsed="false">
      <c r="A292" s="9"/>
      <c r="B292" s="10"/>
      <c r="C292" s="11" t="str">
        <f aca="false">IF(B292="","",IFERROR(INDEX('Câu hỏi'!$D$2:$D$21,MATCH(B292,'Câu hỏi'!$A$2:$A$21,0)),"Mã không có"))</f>
        <v/>
      </c>
      <c r="D292" s="10"/>
      <c r="E292" s="10"/>
      <c r="F292" s="10"/>
      <c r="G292" s="10"/>
      <c r="H292" s="10"/>
      <c r="I292" s="10"/>
      <c r="J292" s="10"/>
      <c r="K292" s="10"/>
      <c r="L292" s="10"/>
      <c r="M292" s="10"/>
    </row>
    <row r="293" customFormat="false" ht="15" hidden="false" customHeight="false" outlineLevel="0" collapsed="false">
      <c r="A293" s="9"/>
      <c r="B293" s="10"/>
      <c r="C293" s="11" t="str">
        <f aca="false">IF(B293="","",IFERROR(INDEX('Câu hỏi'!$D$2:$D$21,MATCH(B293,'Câu hỏi'!$A$2:$A$21,0)),"Mã không có"))</f>
        <v/>
      </c>
      <c r="D293" s="10"/>
      <c r="E293" s="10"/>
      <c r="F293" s="10"/>
      <c r="G293" s="10"/>
      <c r="H293" s="10"/>
      <c r="I293" s="10"/>
      <c r="J293" s="10"/>
      <c r="K293" s="10"/>
      <c r="L293" s="10"/>
      <c r="M293" s="10"/>
    </row>
    <row r="294" customFormat="false" ht="15" hidden="false" customHeight="false" outlineLevel="0" collapsed="false">
      <c r="A294" s="9"/>
      <c r="B294" s="10"/>
      <c r="C294" s="11" t="str">
        <f aca="false">IF(B294="","",IFERROR(INDEX('Câu hỏi'!$D$2:$D$21,MATCH(B294,'Câu hỏi'!$A$2:$A$21,0)),"Mã không có"))</f>
        <v/>
      </c>
      <c r="D294" s="10"/>
      <c r="E294" s="10"/>
      <c r="F294" s="10"/>
      <c r="G294" s="10"/>
      <c r="H294" s="10"/>
      <c r="I294" s="10"/>
      <c r="J294" s="10"/>
      <c r="K294" s="10"/>
      <c r="L294" s="10"/>
      <c r="M294" s="10"/>
    </row>
    <row r="295" customFormat="false" ht="15" hidden="false" customHeight="false" outlineLevel="0" collapsed="false">
      <c r="A295" s="9"/>
      <c r="B295" s="10"/>
      <c r="C295" s="11" t="str">
        <f aca="false">IF(B295="","",IFERROR(INDEX('Câu hỏi'!$D$2:$D$21,MATCH(B295,'Câu hỏi'!$A$2:$A$21,0)),"Mã không có"))</f>
        <v/>
      </c>
      <c r="D295" s="10"/>
      <c r="E295" s="10"/>
      <c r="F295" s="10"/>
      <c r="G295" s="10"/>
      <c r="H295" s="10"/>
      <c r="I295" s="10"/>
      <c r="J295" s="10"/>
      <c r="K295" s="10"/>
      <c r="L295" s="10"/>
      <c r="M295" s="10"/>
    </row>
    <row r="296" customFormat="false" ht="15" hidden="false" customHeight="false" outlineLevel="0" collapsed="false">
      <c r="A296" s="9"/>
      <c r="B296" s="10"/>
      <c r="C296" s="11" t="str">
        <f aca="false">IF(B296="","",IFERROR(INDEX('Câu hỏi'!$D$2:$D$21,MATCH(B296,'Câu hỏi'!$A$2:$A$21,0)),"Mã không có"))</f>
        <v/>
      </c>
      <c r="D296" s="10"/>
      <c r="E296" s="10"/>
      <c r="F296" s="10"/>
      <c r="G296" s="10"/>
      <c r="H296" s="10"/>
      <c r="I296" s="10"/>
      <c r="J296" s="10"/>
      <c r="K296" s="10"/>
      <c r="L296" s="10"/>
      <c r="M296" s="10"/>
    </row>
    <row r="297" customFormat="false" ht="15" hidden="false" customHeight="false" outlineLevel="0" collapsed="false">
      <c r="A297" s="9"/>
      <c r="B297" s="10"/>
      <c r="C297" s="11" t="str">
        <f aca="false">IF(B297="","",IFERROR(INDEX('Câu hỏi'!$D$2:$D$21,MATCH(B297,'Câu hỏi'!$A$2:$A$21,0)),"Mã không có"))</f>
        <v/>
      </c>
      <c r="D297" s="10"/>
      <c r="E297" s="10"/>
      <c r="F297" s="10"/>
      <c r="G297" s="10"/>
      <c r="H297" s="10"/>
      <c r="I297" s="10"/>
      <c r="J297" s="10"/>
      <c r="K297" s="10"/>
      <c r="L297" s="10"/>
      <c r="M297" s="10"/>
    </row>
    <row r="298" customFormat="false" ht="15" hidden="false" customHeight="false" outlineLevel="0" collapsed="false">
      <c r="A298" s="9"/>
      <c r="B298" s="10"/>
      <c r="C298" s="11" t="str">
        <f aca="false">IF(B298="","",IFERROR(INDEX('Câu hỏi'!$D$2:$D$21,MATCH(B298,'Câu hỏi'!$A$2:$A$21,0)),"Mã không có"))</f>
        <v/>
      </c>
      <c r="D298" s="10"/>
      <c r="E298" s="10"/>
      <c r="F298" s="10"/>
      <c r="G298" s="10"/>
      <c r="H298" s="10"/>
      <c r="I298" s="10"/>
      <c r="J298" s="10"/>
      <c r="K298" s="10"/>
      <c r="L298" s="10"/>
      <c r="M298" s="10"/>
    </row>
    <row r="299" customFormat="false" ht="15" hidden="false" customHeight="false" outlineLevel="0" collapsed="false">
      <c r="A299" s="9"/>
      <c r="B299" s="10"/>
      <c r="C299" s="11" t="str">
        <f aca="false">IF(B299="","",IFERROR(INDEX('Câu hỏi'!$D$2:$D$21,MATCH(B299,'Câu hỏi'!$A$2:$A$21,0)),"Mã không có"))</f>
        <v/>
      </c>
      <c r="D299" s="10"/>
      <c r="E299" s="10"/>
      <c r="F299" s="10"/>
      <c r="G299" s="10"/>
      <c r="H299" s="10"/>
      <c r="I299" s="10"/>
      <c r="J299" s="10"/>
      <c r="K299" s="10"/>
      <c r="L299" s="10"/>
      <c r="M299" s="10"/>
    </row>
    <row r="300" customFormat="false" ht="15" hidden="false" customHeight="false" outlineLevel="0" collapsed="false">
      <c r="A300" s="9"/>
      <c r="B300" s="10"/>
      <c r="C300" s="11" t="str">
        <f aca="false">IF(B300="","",IFERROR(INDEX('Câu hỏi'!$D$2:$D$21,MATCH(B300,'Câu hỏi'!$A$2:$A$21,0)),"Mã không có"))</f>
        <v/>
      </c>
      <c r="D300" s="10"/>
      <c r="E300" s="10"/>
      <c r="F300" s="10"/>
      <c r="G300" s="10"/>
      <c r="H300" s="10"/>
      <c r="I300" s="10"/>
      <c r="J300" s="10"/>
      <c r="K300" s="10"/>
      <c r="L300" s="10"/>
      <c r="M300" s="10"/>
    </row>
    <row r="301" customFormat="false" ht="15" hidden="false" customHeight="false" outlineLevel="0" collapsed="false">
      <c r="A301" s="9"/>
      <c r="B301" s="10"/>
      <c r="C301" s="11" t="str">
        <f aca="false">IF(B301="","",IFERROR(INDEX('Câu hỏi'!$D$2:$D$21,MATCH(B301,'Câu hỏi'!$A$2:$A$21,0)),"Mã không có"))</f>
        <v/>
      </c>
      <c r="D301" s="10"/>
      <c r="E301" s="10"/>
      <c r="F301" s="10"/>
      <c r="G301" s="10"/>
      <c r="H301" s="10"/>
      <c r="I301" s="10"/>
      <c r="J301" s="10"/>
      <c r="K301" s="10"/>
      <c r="L301" s="10"/>
      <c r="M301" s="10"/>
    </row>
    <row r="302" customFormat="false" ht="15" hidden="false" customHeight="false" outlineLevel="0" collapsed="false">
      <c r="A302" s="9"/>
      <c r="B302" s="10"/>
      <c r="C302" s="11" t="str">
        <f aca="false">IF(B302="","",IFERROR(INDEX('Câu hỏi'!$D$2:$D$21,MATCH(B302,'Câu hỏi'!$A$2:$A$21,0)),"Mã không có"))</f>
        <v/>
      </c>
      <c r="D302" s="10"/>
      <c r="E302" s="10"/>
      <c r="F302" s="10"/>
      <c r="G302" s="10"/>
      <c r="H302" s="10"/>
      <c r="I302" s="10"/>
      <c r="J302" s="10"/>
      <c r="K302" s="10"/>
      <c r="L302" s="10"/>
      <c r="M302" s="10"/>
    </row>
    <row r="303" customFormat="false" ht="15" hidden="false" customHeight="false" outlineLevel="0" collapsed="false">
      <c r="A303" s="9"/>
      <c r="B303" s="10"/>
      <c r="C303" s="11" t="str">
        <f aca="false">IF(B303="","",IFERROR(INDEX('Câu hỏi'!$D$2:$D$21,MATCH(B303,'Câu hỏi'!$A$2:$A$21,0)),"Mã không có"))</f>
        <v/>
      </c>
      <c r="D303" s="10"/>
      <c r="E303" s="10"/>
      <c r="F303" s="10"/>
      <c r="G303" s="10"/>
      <c r="H303" s="10"/>
      <c r="I303" s="10"/>
      <c r="J303" s="10"/>
      <c r="K303" s="10"/>
      <c r="L303" s="10"/>
      <c r="M303" s="10"/>
    </row>
    <row r="304" customFormat="false" ht="15" hidden="false" customHeight="false" outlineLevel="0" collapsed="false">
      <c r="A304" s="9"/>
      <c r="B304" s="10"/>
      <c r="C304" s="11" t="str">
        <f aca="false">IF(B304="","",IFERROR(INDEX('Câu hỏi'!$D$2:$D$21,MATCH(B304,'Câu hỏi'!$A$2:$A$21,0)),"Mã không có"))</f>
        <v/>
      </c>
      <c r="D304" s="10"/>
      <c r="E304" s="10"/>
      <c r="F304" s="10"/>
      <c r="G304" s="10"/>
      <c r="H304" s="10"/>
      <c r="I304" s="10"/>
      <c r="J304" s="10"/>
      <c r="K304" s="10"/>
      <c r="L304" s="10"/>
      <c r="M304" s="10"/>
    </row>
    <row r="305" customFormat="false" ht="15" hidden="false" customHeight="false" outlineLevel="0" collapsed="false">
      <c r="A305" s="9"/>
      <c r="B305" s="10"/>
      <c r="C305" s="11" t="str">
        <f aca="false">IF(B305="","",IFERROR(INDEX('Câu hỏi'!$D$2:$D$21,MATCH(B305,'Câu hỏi'!$A$2:$A$21,0)),"Mã không có"))</f>
        <v/>
      </c>
      <c r="D305" s="10"/>
      <c r="E305" s="10"/>
      <c r="F305" s="10"/>
      <c r="G305" s="10"/>
      <c r="H305" s="10"/>
      <c r="I305" s="10"/>
      <c r="J305" s="10"/>
      <c r="K305" s="10"/>
      <c r="L305" s="10"/>
      <c r="M305" s="10"/>
    </row>
    <row r="306" customFormat="false" ht="15" hidden="false" customHeight="false" outlineLevel="0" collapsed="false">
      <c r="A306" s="9"/>
      <c r="B306" s="10"/>
      <c r="C306" s="11" t="str">
        <f aca="false">IF(B306="","",IFERROR(INDEX('Câu hỏi'!$D$2:$D$21,MATCH(B306,'Câu hỏi'!$A$2:$A$21,0)),"Mã không có"))</f>
        <v/>
      </c>
      <c r="D306" s="10"/>
      <c r="E306" s="10"/>
      <c r="F306" s="10"/>
      <c r="G306" s="10"/>
      <c r="H306" s="10"/>
      <c r="I306" s="10"/>
      <c r="J306" s="10"/>
      <c r="K306" s="10"/>
      <c r="L306" s="10"/>
      <c r="M306" s="10"/>
    </row>
    <row r="307" customFormat="false" ht="15" hidden="false" customHeight="false" outlineLevel="0" collapsed="false">
      <c r="A307" s="9"/>
      <c r="B307" s="10"/>
      <c r="C307" s="11" t="str">
        <f aca="false">IF(B307="","",IFERROR(INDEX('Câu hỏi'!$D$2:$D$21,MATCH(B307,'Câu hỏi'!$A$2:$A$21,0)),"Mã không có"))</f>
        <v/>
      </c>
      <c r="D307" s="10"/>
      <c r="E307" s="10"/>
      <c r="F307" s="10"/>
      <c r="G307" s="10"/>
      <c r="H307" s="10"/>
      <c r="I307" s="10"/>
      <c r="J307" s="10"/>
      <c r="K307" s="10"/>
      <c r="L307" s="10"/>
      <c r="M307" s="10"/>
    </row>
    <row r="308" customFormat="false" ht="15" hidden="false" customHeight="false" outlineLevel="0" collapsed="false">
      <c r="A308" s="9"/>
      <c r="B308" s="10"/>
      <c r="C308" s="11" t="str">
        <f aca="false">IF(B308="","",IFERROR(INDEX('Câu hỏi'!$D$2:$D$21,MATCH(B308,'Câu hỏi'!$A$2:$A$21,0)),"Mã không có"))</f>
        <v/>
      </c>
      <c r="D308" s="10"/>
      <c r="E308" s="10"/>
      <c r="F308" s="10"/>
      <c r="G308" s="10"/>
      <c r="H308" s="10"/>
      <c r="I308" s="10"/>
      <c r="J308" s="10"/>
      <c r="K308" s="10"/>
      <c r="L308" s="10"/>
      <c r="M308" s="10"/>
    </row>
    <row r="309" customFormat="false" ht="15" hidden="false" customHeight="false" outlineLevel="0" collapsed="false">
      <c r="A309" s="9"/>
      <c r="B309" s="10"/>
      <c r="C309" s="11" t="str">
        <f aca="false">IF(B309="","",IFERROR(INDEX('Câu hỏi'!$D$2:$D$21,MATCH(B309,'Câu hỏi'!$A$2:$A$21,0)),"Mã không có"))</f>
        <v/>
      </c>
      <c r="D309" s="10"/>
      <c r="E309" s="10"/>
      <c r="F309" s="10"/>
      <c r="G309" s="10"/>
      <c r="H309" s="10"/>
      <c r="I309" s="10"/>
      <c r="J309" s="10"/>
      <c r="K309" s="10"/>
      <c r="L309" s="10"/>
      <c r="M309" s="10"/>
    </row>
    <row r="310" customFormat="false" ht="15" hidden="false" customHeight="false" outlineLevel="0" collapsed="false">
      <c r="A310" s="9"/>
      <c r="B310" s="10"/>
      <c r="C310" s="11" t="str">
        <f aca="false">IF(B310="","",IFERROR(INDEX('Câu hỏi'!$D$2:$D$21,MATCH(B310,'Câu hỏi'!$A$2:$A$21,0)),"Mã không có"))</f>
        <v/>
      </c>
      <c r="D310" s="10"/>
      <c r="E310" s="10"/>
      <c r="F310" s="10"/>
      <c r="G310" s="10"/>
      <c r="H310" s="10"/>
      <c r="I310" s="10"/>
      <c r="J310" s="10"/>
      <c r="K310" s="10"/>
      <c r="L310" s="10"/>
      <c r="M310" s="10"/>
    </row>
    <row r="311" customFormat="false" ht="15" hidden="false" customHeight="false" outlineLevel="0" collapsed="false">
      <c r="A311" s="9"/>
      <c r="B311" s="10"/>
      <c r="C311" s="11" t="str">
        <f aca="false">IF(B311="","",IFERROR(INDEX('Câu hỏi'!$D$2:$D$21,MATCH(B311,'Câu hỏi'!$A$2:$A$21,0)),"Mã không có"))</f>
        <v/>
      </c>
      <c r="D311" s="10"/>
      <c r="E311" s="10"/>
      <c r="F311" s="10"/>
      <c r="G311" s="10"/>
      <c r="H311" s="10"/>
      <c r="I311" s="10"/>
      <c r="J311" s="10"/>
      <c r="K311" s="10"/>
      <c r="L311" s="10"/>
      <c r="M311" s="10"/>
    </row>
    <row r="312" customFormat="false" ht="15" hidden="false" customHeight="false" outlineLevel="0" collapsed="false">
      <c r="A312" s="9"/>
      <c r="B312" s="10"/>
      <c r="C312" s="11" t="str">
        <f aca="false">IF(B312="","",IFERROR(INDEX('Câu hỏi'!$D$2:$D$21,MATCH(B312,'Câu hỏi'!$A$2:$A$21,0)),"Mã không có"))</f>
        <v/>
      </c>
      <c r="D312" s="10"/>
      <c r="E312" s="10"/>
      <c r="F312" s="10"/>
      <c r="G312" s="10"/>
      <c r="H312" s="10"/>
      <c r="I312" s="10"/>
      <c r="J312" s="10"/>
      <c r="K312" s="10"/>
      <c r="L312" s="10"/>
      <c r="M312" s="10"/>
    </row>
    <row r="313" customFormat="false" ht="15" hidden="false" customHeight="false" outlineLevel="0" collapsed="false">
      <c r="A313" s="9"/>
      <c r="B313" s="10"/>
      <c r="C313" s="11" t="str">
        <f aca="false">IF(B313="","",IFERROR(INDEX('Câu hỏi'!$D$2:$D$21,MATCH(B313,'Câu hỏi'!$A$2:$A$21,0)),"Mã không có"))</f>
        <v/>
      </c>
      <c r="D313" s="10"/>
      <c r="E313" s="10"/>
      <c r="F313" s="10"/>
      <c r="G313" s="10"/>
      <c r="H313" s="10"/>
      <c r="I313" s="10"/>
      <c r="J313" s="10"/>
      <c r="K313" s="10"/>
      <c r="L313" s="10"/>
      <c r="M313" s="10"/>
    </row>
    <row r="314" customFormat="false" ht="15" hidden="false" customHeight="false" outlineLevel="0" collapsed="false">
      <c r="A314" s="9"/>
      <c r="B314" s="10"/>
      <c r="C314" s="11" t="str">
        <f aca="false">IF(B314="","",IFERROR(INDEX('Câu hỏi'!$D$2:$D$21,MATCH(B314,'Câu hỏi'!$A$2:$A$21,0)),"Mã không có"))</f>
        <v/>
      </c>
      <c r="D314" s="10"/>
      <c r="E314" s="10"/>
      <c r="F314" s="10"/>
      <c r="G314" s="10"/>
      <c r="H314" s="10"/>
      <c r="I314" s="10"/>
      <c r="J314" s="10"/>
      <c r="K314" s="10"/>
      <c r="L314" s="10"/>
      <c r="M314" s="10"/>
    </row>
    <row r="315" customFormat="false" ht="15" hidden="false" customHeight="false" outlineLevel="0" collapsed="false">
      <c r="A315" s="9"/>
      <c r="B315" s="10"/>
      <c r="C315" s="11" t="str">
        <f aca="false">IF(B315="","",IFERROR(INDEX('Câu hỏi'!$D$2:$D$21,MATCH(B315,'Câu hỏi'!$A$2:$A$21,0)),"Mã không có"))</f>
        <v/>
      </c>
      <c r="D315" s="10"/>
      <c r="E315" s="10"/>
      <c r="F315" s="10"/>
      <c r="G315" s="10"/>
      <c r="H315" s="10"/>
      <c r="I315" s="10"/>
      <c r="J315" s="10"/>
      <c r="K315" s="10"/>
      <c r="L315" s="10"/>
      <c r="M315" s="10"/>
    </row>
    <row r="316" customFormat="false" ht="15" hidden="false" customHeight="false" outlineLevel="0" collapsed="false">
      <c r="A316" s="9"/>
      <c r="B316" s="10"/>
      <c r="C316" s="11" t="str">
        <f aca="false">IF(B316="","",IFERROR(INDEX('Câu hỏi'!$D$2:$D$21,MATCH(B316,'Câu hỏi'!$A$2:$A$21,0)),"Mã không có"))</f>
        <v/>
      </c>
      <c r="D316" s="10"/>
      <c r="E316" s="10"/>
      <c r="F316" s="10"/>
      <c r="G316" s="10"/>
      <c r="H316" s="10"/>
      <c r="I316" s="10"/>
      <c r="J316" s="10"/>
      <c r="K316" s="10"/>
      <c r="L316" s="10"/>
      <c r="M316" s="10"/>
    </row>
    <row r="317" customFormat="false" ht="15" hidden="false" customHeight="false" outlineLevel="0" collapsed="false">
      <c r="A317" s="9"/>
      <c r="B317" s="10"/>
      <c r="C317" s="11" t="str">
        <f aca="false">IF(B317="","",IFERROR(INDEX('Câu hỏi'!$D$2:$D$21,MATCH(B317,'Câu hỏi'!$A$2:$A$21,0)),"Mã không có"))</f>
        <v/>
      </c>
      <c r="D317" s="10"/>
      <c r="E317" s="10"/>
      <c r="F317" s="10"/>
      <c r="G317" s="10"/>
      <c r="H317" s="10"/>
      <c r="I317" s="10"/>
      <c r="J317" s="10"/>
      <c r="K317" s="10"/>
      <c r="L317" s="10"/>
      <c r="M317" s="10"/>
    </row>
    <row r="318" customFormat="false" ht="15" hidden="false" customHeight="false" outlineLevel="0" collapsed="false">
      <c r="A318" s="9"/>
      <c r="B318" s="10"/>
      <c r="C318" s="11" t="str">
        <f aca="false">IF(B318="","",IFERROR(INDEX('Câu hỏi'!$D$2:$D$21,MATCH(B318,'Câu hỏi'!$A$2:$A$21,0)),"Mã không có"))</f>
        <v/>
      </c>
      <c r="D318" s="10"/>
      <c r="E318" s="10"/>
      <c r="F318" s="10"/>
      <c r="G318" s="10"/>
      <c r="H318" s="10"/>
      <c r="I318" s="10"/>
      <c r="J318" s="10"/>
      <c r="K318" s="10"/>
      <c r="L318" s="10"/>
      <c r="M318" s="10"/>
    </row>
    <row r="319" customFormat="false" ht="15" hidden="false" customHeight="false" outlineLevel="0" collapsed="false">
      <c r="A319" s="9"/>
      <c r="B319" s="10"/>
      <c r="C319" s="11" t="str">
        <f aca="false">IF(B319="","",IFERROR(INDEX('Câu hỏi'!$D$2:$D$21,MATCH(B319,'Câu hỏi'!$A$2:$A$21,0)),"Mã không có"))</f>
        <v/>
      </c>
      <c r="D319" s="10"/>
      <c r="E319" s="10"/>
      <c r="F319" s="10"/>
      <c r="G319" s="10"/>
      <c r="H319" s="10"/>
      <c r="I319" s="10"/>
      <c r="J319" s="10"/>
      <c r="K319" s="10"/>
      <c r="L319" s="10"/>
      <c r="M319" s="10"/>
    </row>
    <row r="320" customFormat="false" ht="15" hidden="false" customHeight="false" outlineLevel="0" collapsed="false">
      <c r="A320" s="9"/>
      <c r="B320" s="10"/>
      <c r="C320" s="11" t="str">
        <f aca="false">IF(B320="","",IFERROR(INDEX('Câu hỏi'!$D$2:$D$21,MATCH(B320,'Câu hỏi'!$A$2:$A$21,0)),"Mã không có"))</f>
        <v/>
      </c>
      <c r="D320" s="10"/>
      <c r="E320" s="10"/>
      <c r="F320" s="10"/>
      <c r="G320" s="10"/>
      <c r="H320" s="10"/>
      <c r="I320" s="10"/>
      <c r="J320" s="10"/>
      <c r="K320" s="10"/>
      <c r="L320" s="10"/>
      <c r="M320" s="10"/>
    </row>
    <row r="321" customFormat="false" ht="15" hidden="false" customHeight="false" outlineLevel="0" collapsed="false">
      <c r="A321" s="9"/>
      <c r="B321" s="10"/>
      <c r="C321" s="11" t="str">
        <f aca="false">IF(B321="","",IFERROR(INDEX('Câu hỏi'!$D$2:$D$21,MATCH(B321,'Câu hỏi'!$A$2:$A$21,0)),"Mã không có"))</f>
        <v/>
      </c>
      <c r="D321" s="10"/>
      <c r="E321" s="10"/>
      <c r="F321" s="10"/>
      <c r="G321" s="10"/>
      <c r="H321" s="10"/>
      <c r="I321" s="10"/>
      <c r="J321" s="10"/>
      <c r="K321" s="10"/>
      <c r="L321" s="10"/>
      <c r="M321" s="10"/>
    </row>
    <row r="322" customFormat="false" ht="15" hidden="false" customHeight="false" outlineLevel="0" collapsed="false">
      <c r="A322" s="9"/>
      <c r="B322" s="10"/>
      <c r="C322" s="11" t="str">
        <f aca="false">IF(B322="","",IFERROR(INDEX('Câu hỏi'!$D$2:$D$21,MATCH(B322,'Câu hỏi'!$A$2:$A$21,0)),"Mã không có"))</f>
        <v/>
      </c>
      <c r="D322" s="10"/>
      <c r="E322" s="10"/>
      <c r="F322" s="10"/>
      <c r="G322" s="10"/>
      <c r="H322" s="10"/>
      <c r="I322" s="10"/>
      <c r="J322" s="10"/>
      <c r="K322" s="10"/>
      <c r="L322" s="10"/>
      <c r="M322" s="10"/>
    </row>
    <row r="323" customFormat="false" ht="15" hidden="false" customHeight="false" outlineLevel="0" collapsed="false">
      <c r="A323" s="9"/>
      <c r="B323" s="10"/>
      <c r="C323" s="11" t="str">
        <f aca="false">IF(B323="","",IFERROR(INDEX('Câu hỏi'!$D$2:$D$21,MATCH(B323,'Câu hỏi'!$A$2:$A$21,0)),"Mã không có"))</f>
        <v/>
      </c>
      <c r="D323" s="10"/>
      <c r="E323" s="10"/>
      <c r="F323" s="10"/>
      <c r="G323" s="10"/>
      <c r="H323" s="10"/>
      <c r="I323" s="10"/>
      <c r="J323" s="10"/>
      <c r="K323" s="10"/>
      <c r="L323" s="10"/>
      <c r="M323" s="10"/>
    </row>
    <row r="324" customFormat="false" ht="15" hidden="false" customHeight="false" outlineLevel="0" collapsed="false">
      <c r="A324" s="9"/>
      <c r="B324" s="10"/>
      <c r="C324" s="11" t="str">
        <f aca="false">IF(B324="","",IFERROR(INDEX('Câu hỏi'!$D$2:$D$21,MATCH(B324,'Câu hỏi'!$A$2:$A$21,0)),"Mã không có"))</f>
        <v/>
      </c>
      <c r="D324" s="10"/>
      <c r="E324" s="10"/>
      <c r="F324" s="10"/>
      <c r="G324" s="10"/>
      <c r="H324" s="10"/>
      <c r="I324" s="10"/>
      <c r="J324" s="10"/>
      <c r="K324" s="10"/>
      <c r="L324" s="10"/>
      <c r="M324" s="10"/>
    </row>
    <row r="325" customFormat="false" ht="15" hidden="false" customHeight="false" outlineLevel="0" collapsed="false">
      <c r="A325" s="9"/>
      <c r="B325" s="10"/>
      <c r="C325" s="11" t="str">
        <f aca="false">IF(B325="","",IFERROR(INDEX('Câu hỏi'!$D$2:$D$21,MATCH(B325,'Câu hỏi'!$A$2:$A$21,0)),"Mã không có"))</f>
        <v/>
      </c>
      <c r="D325" s="10"/>
      <c r="E325" s="10"/>
      <c r="F325" s="10"/>
      <c r="G325" s="10"/>
      <c r="H325" s="10"/>
      <c r="I325" s="10"/>
      <c r="J325" s="10"/>
      <c r="K325" s="10"/>
      <c r="L325" s="10"/>
      <c r="M325" s="10"/>
    </row>
    <row r="326" customFormat="false" ht="15" hidden="false" customHeight="false" outlineLevel="0" collapsed="false">
      <c r="A326" s="9"/>
      <c r="B326" s="10"/>
      <c r="C326" s="11" t="str">
        <f aca="false">IF(B326="","",IFERROR(INDEX('Câu hỏi'!$D$2:$D$21,MATCH(B326,'Câu hỏi'!$A$2:$A$21,0)),"Mã không có"))</f>
        <v/>
      </c>
      <c r="D326" s="10"/>
      <c r="E326" s="10"/>
      <c r="F326" s="10"/>
      <c r="G326" s="10"/>
      <c r="H326" s="10"/>
      <c r="I326" s="10"/>
      <c r="J326" s="10"/>
      <c r="K326" s="10"/>
      <c r="L326" s="10"/>
      <c r="M326" s="10"/>
    </row>
    <row r="327" customFormat="false" ht="15" hidden="false" customHeight="false" outlineLevel="0" collapsed="false">
      <c r="A327" s="9"/>
      <c r="B327" s="10"/>
      <c r="C327" s="11" t="str">
        <f aca="false">IF(B327="","",IFERROR(INDEX('Câu hỏi'!$D$2:$D$21,MATCH(B327,'Câu hỏi'!$A$2:$A$21,0)),"Mã không có"))</f>
        <v/>
      </c>
      <c r="D327" s="10"/>
      <c r="E327" s="10"/>
      <c r="F327" s="10"/>
      <c r="G327" s="10"/>
      <c r="H327" s="10"/>
      <c r="I327" s="10"/>
      <c r="J327" s="10"/>
      <c r="K327" s="10"/>
      <c r="L327" s="10"/>
      <c r="M327" s="10"/>
    </row>
    <row r="328" customFormat="false" ht="15" hidden="false" customHeight="false" outlineLevel="0" collapsed="false">
      <c r="A328" s="9"/>
      <c r="B328" s="10"/>
      <c r="C328" s="11" t="str">
        <f aca="false">IF(B328="","",IFERROR(INDEX('Câu hỏi'!$D$2:$D$21,MATCH(B328,'Câu hỏi'!$A$2:$A$21,0)),"Mã không có"))</f>
        <v/>
      </c>
      <c r="D328" s="10"/>
      <c r="E328" s="10"/>
      <c r="F328" s="10"/>
      <c r="G328" s="10"/>
      <c r="H328" s="10"/>
      <c r="I328" s="10"/>
      <c r="J328" s="10"/>
      <c r="K328" s="10"/>
      <c r="L328" s="10"/>
      <c r="M328" s="10"/>
    </row>
    <row r="329" customFormat="false" ht="15" hidden="false" customHeight="false" outlineLevel="0" collapsed="false">
      <c r="A329" s="9"/>
      <c r="B329" s="10"/>
      <c r="C329" s="11" t="str">
        <f aca="false">IF(B329="","",IFERROR(INDEX('Câu hỏi'!$D$2:$D$21,MATCH(B329,'Câu hỏi'!$A$2:$A$21,0)),"Mã không có"))</f>
        <v/>
      </c>
      <c r="D329" s="10"/>
      <c r="E329" s="10"/>
      <c r="F329" s="10"/>
      <c r="G329" s="10"/>
      <c r="H329" s="10"/>
      <c r="I329" s="10"/>
      <c r="J329" s="10"/>
      <c r="K329" s="10"/>
      <c r="L329" s="10"/>
      <c r="M329" s="10"/>
    </row>
    <row r="330" customFormat="false" ht="15" hidden="false" customHeight="false" outlineLevel="0" collapsed="false">
      <c r="A330" s="9"/>
      <c r="B330" s="10"/>
      <c r="C330" s="11" t="str">
        <f aca="false">IF(B330="","",IFERROR(INDEX('Câu hỏi'!$D$2:$D$21,MATCH(B330,'Câu hỏi'!$A$2:$A$21,0)),"Mã không có"))</f>
        <v/>
      </c>
      <c r="D330" s="10"/>
      <c r="E330" s="10"/>
      <c r="F330" s="10"/>
      <c r="G330" s="10"/>
      <c r="H330" s="10"/>
      <c r="I330" s="10"/>
      <c r="J330" s="10"/>
      <c r="K330" s="10"/>
      <c r="L330" s="10"/>
      <c r="M330" s="10"/>
    </row>
    <row r="331" customFormat="false" ht="15" hidden="false" customHeight="false" outlineLevel="0" collapsed="false">
      <c r="A331" s="9"/>
      <c r="B331" s="10"/>
      <c r="C331" s="11" t="str">
        <f aca="false">IF(B331="","",IFERROR(INDEX('Câu hỏi'!$D$2:$D$21,MATCH(B331,'Câu hỏi'!$A$2:$A$21,0)),"Mã không có"))</f>
        <v/>
      </c>
      <c r="D331" s="10"/>
      <c r="E331" s="10"/>
      <c r="F331" s="10"/>
      <c r="G331" s="10"/>
      <c r="H331" s="10"/>
      <c r="I331" s="10"/>
      <c r="J331" s="10"/>
      <c r="K331" s="10"/>
      <c r="L331" s="10"/>
      <c r="M331" s="10"/>
    </row>
    <row r="332" customFormat="false" ht="15" hidden="false" customHeight="false" outlineLevel="0" collapsed="false">
      <c r="A332" s="9"/>
      <c r="B332" s="10"/>
      <c r="C332" s="11" t="str">
        <f aca="false">IF(B332="","",IFERROR(INDEX('Câu hỏi'!$D$2:$D$21,MATCH(B332,'Câu hỏi'!$A$2:$A$21,0)),"Mã không có"))</f>
        <v/>
      </c>
      <c r="D332" s="10"/>
      <c r="E332" s="10"/>
      <c r="F332" s="10"/>
      <c r="G332" s="10"/>
      <c r="H332" s="10"/>
      <c r="I332" s="10"/>
      <c r="J332" s="10"/>
      <c r="K332" s="10"/>
      <c r="L332" s="10"/>
      <c r="M332" s="10"/>
    </row>
    <row r="333" customFormat="false" ht="15" hidden="false" customHeight="false" outlineLevel="0" collapsed="false">
      <c r="A333" s="9"/>
      <c r="B333" s="10"/>
      <c r="C333" s="11" t="str">
        <f aca="false">IF(B333="","",IFERROR(INDEX('Câu hỏi'!$D$2:$D$21,MATCH(B333,'Câu hỏi'!$A$2:$A$21,0)),"Mã không có"))</f>
        <v/>
      </c>
      <c r="D333" s="10"/>
      <c r="E333" s="10"/>
      <c r="F333" s="10"/>
      <c r="G333" s="10"/>
      <c r="H333" s="10"/>
      <c r="I333" s="10"/>
      <c r="J333" s="10"/>
      <c r="K333" s="10"/>
      <c r="L333" s="10"/>
      <c r="M333" s="10"/>
    </row>
    <row r="334" customFormat="false" ht="15" hidden="false" customHeight="false" outlineLevel="0" collapsed="false">
      <c r="A334" s="9"/>
      <c r="B334" s="10"/>
      <c r="C334" s="11" t="str">
        <f aca="false">IF(B334="","",IFERROR(INDEX('Câu hỏi'!$D$2:$D$21,MATCH(B334,'Câu hỏi'!$A$2:$A$21,0)),"Mã không có"))</f>
        <v/>
      </c>
      <c r="D334" s="10"/>
      <c r="E334" s="10"/>
      <c r="F334" s="10"/>
      <c r="G334" s="10"/>
      <c r="H334" s="10"/>
      <c r="I334" s="10"/>
      <c r="J334" s="10"/>
      <c r="K334" s="10"/>
      <c r="L334" s="10"/>
      <c r="M334" s="10"/>
    </row>
    <row r="335" customFormat="false" ht="15" hidden="false" customHeight="false" outlineLevel="0" collapsed="false">
      <c r="A335" s="9"/>
      <c r="B335" s="10"/>
      <c r="C335" s="11" t="str">
        <f aca="false">IF(B335="","",IFERROR(INDEX('Câu hỏi'!$D$2:$D$21,MATCH(B335,'Câu hỏi'!$A$2:$A$21,0)),"Mã không có"))</f>
        <v/>
      </c>
      <c r="D335" s="10"/>
      <c r="E335" s="10"/>
      <c r="F335" s="10"/>
      <c r="G335" s="10"/>
      <c r="H335" s="10"/>
      <c r="I335" s="10"/>
      <c r="J335" s="10"/>
      <c r="K335" s="10"/>
      <c r="L335" s="10"/>
      <c r="M335" s="10"/>
    </row>
    <row r="336" customFormat="false" ht="15" hidden="false" customHeight="false" outlineLevel="0" collapsed="false">
      <c r="A336" s="9"/>
      <c r="B336" s="10"/>
      <c r="C336" s="11" t="str">
        <f aca="false">IF(B336="","",IFERROR(INDEX('Câu hỏi'!$D$2:$D$21,MATCH(B336,'Câu hỏi'!$A$2:$A$21,0)),"Mã không có"))</f>
        <v/>
      </c>
      <c r="D336" s="10"/>
      <c r="E336" s="10"/>
      <c r="F336" s="10"/>
      <c r="G336" s="10"/>
      <c r="H336" s="10"/>
      <c r="I336" s="10"/>
      <c r="J336" s="10"/>
      <c r="K336" s="10"/>
      <c r="L336" s="10"/>
      <c r="M336" s="10"/>
    </row>
    <row r="337" customFormat="false" ht="15" hidden="false" customHeight="false" outlineLevel="0" collapsed="false">
      <c r="A337" s="9"/>
      <c r="B337" s="10"/>
      <c r="C337" s="11" t="str">
        <f aca="false">IF(B337="","",IFERROR(INDEX('Câu hỏi'!$D$2:$D$21,MATCH(B337,'Câu hỏi'!$A$2:$A$21,0)),"Mã không có"))</f>
        <v/>
      </c>
      <c r="D337" s="10"/>
      <c r="E337" s="10"/>
      <c r="F337" s="10"/>
      <c r="G337" s="10"/>
      <c r="H337" s="10"/>
      <c r="I337" s="10"/>
      <c r="J337" s="10"/>
      <c r="K337" s="10"/>
      <c r="L337" s="10"/>
      <c r="M337" s="10"/>
    </row>
    <row r="338" customFormat="false" ht="15" hidden="false" customHeight="false" outlineLevel="0" collapsed="false">
      <c r="A338" s="9"/>
      <c r="B338" s="10"/>
      <c r="C338" s="11" t="str">
        <f aca="false">IF(B338="","",IFERROR(INDEX('Câu hỏi'!$D$2:$D$21,MATCH(B338,'Câu hỏi'!$A$2:$A$21,0)),"Mã không có"))</f>
        <v/>
      </c>
      <c r="D338" s="10"/>
      <c r="E338" s="10"/>
      <c r="F338" s="10"/>
      <c r="G338" s="10"/>
      <c r="H338" s="10"/>
      <c r="I338" s="10"/>
      <c r="J338" s="10"/>
      <c r="K338" s="10"/>
      <c r="L338" s="10"/>
      <c r="M338" s="10"/>
    </row>
    <row r="339" customFormat="false" ht="15" hidden="false" customHeight="false" outlineLevel="0" collapsed="false">
      <c r="A339" s="9"/>
      <c r="B339" s="10"/>
      <c r="C339" s="11" t="str">
        <f aca="false">IF(B339="","",IFERROR(INDEX('Câu hỏi'!$D$2:$D$21,MATCH(B339,'Câu hỏi'!$A$2:$A$21,0)),"Mã không có"))</f>
        <v/>
      </c>
      <c r="D339" s="10"/>
      <c r="E339" s="10"/>
      <c r="F339" s="10"/>
      <c r="G339" s="10"/>
      <c r="H339" s="10"/>
      <c r="I339" s="10"/>
      <c r="J339" s="10"/>
      <c r="K339" s="10"/>
      <c r="L339" s="10"/>
      <c r="M339" s="10"/>
    </row>
    <row r="340" customFormat="false" ht="15" hidden="false" customHeight="false" outlineLevel="0" collapsed="false">
      <c r="A340" s="9"/>
      <c r="B340" s="10"/>
      <c r="C340" s="11" t="str">
        <f aca="false">IF(B340="","",IFERROR(INDEX('Câu hỏi'!$D$2:$D$21,MATCH(B340,'Câu hỏi'!$A$2:$A$21,0)),"Mã không có"))</f>
        <v/>
      </c>
      <c r="D340" s="10"/>
      <c r="E340" s="10"/>
      <c r="F340" s="10"/>
      <c r="G340" s="10"/>
      <c r="H340" s="10"/>
      <c r="I340" s="10"/>
      <c r="J340" s="10"/>
      <c r="K340" s="10"/>
      <c r="L340" s="10"/>
      <c r="M340" s="10"/>
    </row>
    <row r="341" customFormat="false" ht="15" hidden="false" customHeight="false" outlineLevel="0" collapsed="false">
      <c r="A341" s="9"/>
      <c r="B341" s="10"/>
      <c r="C341" s="11" t="str">
        <f aca="false">IF(B341="","",IFERROR(INDEX('Câu hỏi'!$D$2:$D$21,MATCH(B341,'Câu hỏi'!$A$2:$A$21,0)),"Mã không có"))</f>
        <v/>
      </c>
      <c r="D341" s="10"/>
      <c r="E341" s="10"/>
      <c r="F341" s="10"/>
      <c r="G341" s="10"/>
      <c r="H341" s="10"/>
      <c r="I341" s="10"/>
      <c r="J341" s="10"/>
      <c r="K341" s="10"/>
      <c r="L341" s="10"/>
      <c r="M341" s="10"/>
    </row>
    <row r="342" customFormat="false" ht="15" hidden="false" customHeight="false" outlineLevel="0" collapsed="false">
      <c r="A342" s="9"/>
      <c r="B342" s="10"/>
      <c r="C342" s="11" t="str">
        <f aca="false">IF(B342="","",IFERROR(INDEX('Câu hỏi'!$D$2:$D$21,MATCH(B342,'Câu hỏi'!$A$2:$A$21,0)),"Mã không có"))</f>
        <v/>
      </c>
      <c r="D342" s="10"/>
      <c r="E342" s="10"/>
      <c r="F342" s="10"/>
      <c r="G342" s="10"/>
      <c r="H342" s="10"/>
      <c r="I342" s="10"/>
      <c r="J342" s="10"/>
      <c r="K342" s="10"/>
      <c r="L342" s="10"/>
      <c r="M342" s="10"/>
    </row>
    <row r="343" customFormat="false" ht="15" hidden="false" customHeight="false" outlineLevel="0" collapsed="false">
      <c r="A343" s="9"/>
      <c r="B343" s="10"/>
      <c r="C343" s="11" t="str">
        <f aca="false">IF(B343="","",IFERROR(INDEX('Câu hỏi'!$D$2:$D$21,MATCH(B343,'Câu hỏi'!$A$2:$A$21,0)),"Mã không có"))</f>
        <v/>
      </c>
      <c r="D343" s="10"/>
      <c r="E343" s="10"/>
      <c r="F343" s="10"/>
      <c r="G343" s="10"/>
      <c r="H343" s="10"/>
      <c r="I343" s="10"/>
      <c r="J343" s="10"/>
      <c r="K343" s="10"/>
      <c r="L343" s="10"/>
      <c r="M343" s="10"/>
    </row>
    <row r="344" customFormat="false" ht="15" hidden="false" customHeight="false" outlineLevel="0" collapsed="false">
      <c r="A344" s="9"/>
      <c r="B344" s="10"/>
      <c r="C344" s="11" t="str">
        <f aca="false">IF(B344="","",IFERROR(INDEX('Câu hỏi'!$D$2:$D$21,MATCH(B344,'Câu hỏi'!$A$2:$A$21,0)),"Mã không có"))</f>
        <v/>
      </c>
      <c r="D344" s="10"/>
      <c r="E344" s="10"/>
      <c r="F344" s="10"/>
      <c r="G344" s="10"/>
      <c r="H344" s="10"/>
      <c r="I344" s="10"/>
      <c r="J344" s="10"/>
      <c r="K344" s="10"/>
      <c r="L344" s="10"/>
      <c r="M344" s="10"/>
    </row>
    <row r="345" customFormat="false" ht="15" hidden="false" customHeight="false" outlineLevel="0" collapsed="false">
      <c r="A345" s="9"/>
      <c r="B345" s="10"/>
      <c r="C345" s="11" t="str">
        <f aca="false">IF(B345="","",IFERROR(INDEX('Câu hỏi'!$D$2:$D$21,MATCH(B345,'Câu hỏi'!$A$2:$A$21,0)),"Mã không có"))</f>
        <v/>
      </c>
      <c r="D345" s="10"/>
      <c r="E345" s="10"/>
      <c r="F345" s="10"/>
      <c r="G345" s="10"/>
      <c r="H345" s="10"/>
      <c r="I345" s="10"/>
      <c r="J345" s="10"/>
      <c r="K345" s="10"/>
      <c r="L345" s="10"/>
      <c r="M345" s="10"/>
    </row>
    <row r="346" customFormat="false" ht="15" hidden="false" customHeight="false" outlineLevel="0" collapsed="false">
      <c r="A346" s="9"/>
      <c r="B346" s="10"/>
      <c r="C346" s="11" t="str">
        <f aca="false">IF(B346="","",IFERROR(INDEX('Câu hỏi'!$D$2:$D$21,MATCH(B346,'Câu hỏi'!$A$2:$A$21,0)),"Mã không có"))</f>
        <v/>
      </c>
      <c r="D346" s="10"/>
      <c r="E346" s="10"/>
      <c r="F346" s="10"/>
      <c r="G346" s="10"/>
      <c r="H346" s="10"/>
      <c r="I346" s="10"/>
      <c r="J346" s="10"/>
      <c r="K346" s="10"/>
      <c r="L346" s="10"/>
      <c r="M346" s="10"/>
    </row>
    <row r="347" customFormat="false" ht="15" hidden="false" customHeight="false" outlineLevel="0" collapsed="false">
      <c r="A347" s="9"/>
      <c r="B347" s="10"/>
      <c r="C347" s="11" t="str">
        <f aca="false">IF(B347="","",IFERROR(INDEX('Câu hỏi'!$D$2:$D$21,MATCH(B347,'Câu hỏi'!$A$2:$A$21,0)),"Mã không có"))</f>
        <v/>
      </c>
      <c r="D347" s="10"/>
      <c r="E347" s="10"/>
      <c r="F347" s="10"/>
      <c r="G347" s="10"/>
      <c r="H347" s="10"/>
      <c r="I347" s="10"/>
      <c r="J347" s="10"/>
      <c r="K347" s="10"/>
      <c r="L347" s="10"/>
      <c r="M347" s="10"/>
    </row>
    <row r="348" customFormat="false" ht="15" hidden="false" customHeight="false" outlineLevel="0" collapsed="false">
      <c r="A348" s="9"/>
      <c r="B348" s="10"/>
      <c r="C348" s="11" t="str">
        <f aca="false">IF(B348="","",IFERROR(INDEX('Câu hỏi'!$D$2:$D$21,MATCH(B348,'Câu hỏi'!$A$2:$A$21,0)),"Mã không có"))</f>
        <v/>
      </c>
      <c r="D348" s="10"/>
      <c r="E348" s="10"/>
      <c r="F348" s="10"/>
      <c r="G348" s="10"/>
      <c r="H348" s="10"/>
      <c r="I348" s="10"/>
      <c r="J348" s="10"/>
      <c r="K348" s="10"/>
      <c r="L348" s="10"/>
      <c r="M348" s="10"/>
    </row>
    <row r="349" customFormat="false" ht="15" hidden="false" customHeight="false" outlineLevel="0" collapsed="false">
      <c r="A349" s="9"/>
      <c r="B349" s="10"/>
      <c r="C349" s="11" t="str">
        <f aca="false">IF(B349="","",IFERROR(INDEX('Câu hỏi'!$D$2:$D$21,MATCH(B349,'Câu hỏi'!$A$2:$A$21,0)),"Mã không có"))</f>
        <v/>
      </c>
      <c r="D349" s="10"/>
      <c r="E349" s="10"/>
      <c r="F349" s="10"/>
      <c r="G349" s="10"/>
      <c r="H349" s="10"/>
      <c r="I349" s="10"/>
      <c r="J349" s="10"/>
      <c r="K349" s="10"/>
      <c r="L349" s="10"/>
      <c r="M349" s="10"/>
    </row>
    <row r="350" customFormat="false" ht="15" hidden="false" customHeight="false" outlineLevel="0" collapsed="false">
      <c r="A350" s="9"/>
      <c r="B350" s="10"/>
      <c r="C350" s="11" t="str">
        <f aca="false">IF(B350="","",IFERROR(INDEX('Câu hỏi'!$D$2:$D$21,MATCH(B350,'Câu hỏi'!$A$2:$A$21,0)),"Mã không có"))</f>
        <v/>
      </c>
      <c r="D350" s="10"/>
      <c r="E350" s="10"/>
      <c r="F350" s="10"/>
      <c r="G350" s="10"/>
      <c r="H350" s="10"/>
      <c r="I350" s="10"/>
      <c r="J350" s="10"/>
      <c r="K350" s="10"/>
      <c r="L350" s="10"/>
      <c r="M350" s="10"/>
    </row>
    <row r="351" customFormat="false" ht="15" hidden="false" customHeight="false" outlineLevel="0" collapsed="false">
      <c r="A351" s="9"/>
      <c r="B351" s="10"/>
      <c r="C351" s="11" t="str">
        <f aca="false">IF(B351="","",IFERROR(INDEX('Câu hỏi'!$D$2:$D$21,MATCH(B351,'Câu hỏi'!$A$2:$A$21,0)),"Mã không có"))</f>
        <v/>
      </c>
      <c r="D351" s="10"/>
      <c r="E351" s="10"/>
      <c r="F351" s="10"/>
      <c r="G351" s="10"/>
      <c r="H351" s="10"/>
      <c r="I351" s="10"/>
      <c r="J351" s="10"/>
      <c r="K351" s="10"/>
      <c r="L351" s="10"/>
      <c r="M351" s="10"/>
    </row>
    <row r="352" customFormat="false" ht="15" hidden="false" customHeight="false" outlineLevel="0" collapsed="false">
      <c r="A352" s="9"/>
      <c r="B352" s="10"/>
      <c r="C352" s="11" t="str">
        <f aca="false">IF(B352="","",IFERROR(INDEX('Câu hỏi'!$D$2:$D$21,MATCH(B352,'Câu hỏi'!$A$2:$A$21,0)),"Mã không có"))</f>
        <v/>
      </c>
      <c r="D352" s="10"/>
      <c r="E352" s="10"/>
      <c r="F352" s="10"/>
      <c r="G352" s="10"/>
      <c r="H352" s="10"/>
      <c r="I352" s="10"/>
      <c r="J352" s="10"/>
      <c r="K352" s="10"/>
      <c r="L352" s="10"/>
      <c r="M352" s="10"/>
    </row>
    <row r="353" customFormat="false" ht="15" hidden="false" customHeight="false" outlineLevel="0" collapsed="false">
      <c r="A353" s="9"/>
      <c r="B353" s="10"/>
      <c r="C353" s="11" t="str">
        <f aca="false">IF(B353="","",IFERROR(INDEX('Câu hỏi'!$D$2:$D$21,MATCH(B353,'Câu hỏi'!$A$2:$A$21,0)),"Mã không có"))</f>
        <v/>
      </c>
      <c r="D353" s="10"/>
      <c r="E353" s="10"/>
      <c r="F353" s="10"/>
      <c r="G353" s="10"/>
      <c r="H353" s="10"/>
      <c r="I353" s="10"/>
      <c r="J353" s="10"/>
      <c r="K353" s="10"/>
      <c r="L353" s="10"/>
      <c r="M353" s="10"/>
    </row>
    <row r="354" customFormat="false" ht="15" hidden="false" customHeight="false" outlineLevel="0" collapsed="false">
      <c r="A354" s="9"/>
      <c r="B354" s="10"/>
      <c r="C354" s="11" t="str">
        <f aca="false">IF(B354="","",IFERROR(INDEX('Câu hỏi'!$D$2:$D$21,MATCH(B354,'Câu hỏi'!$A$2:$A$21,0)),"Mã không có"))</f>
        <v/>
      </c>
      <c r="D354" s="10"/>
      <c r="E354" s="10"/>
      <c r="F354" s="10"/>
      <c r="G354" s="10"/>
      <c r="H354" s="10"/>
      <c r="I354" s="10"/>
      <c r="J354" s="10"/>
      <c r="K354" s="10"/>
      <c r="L354" s="10"/>
      <c r="M354" s="10"/>
    </row>
    <row r="355" customFormat="false" ht="15" hidden="false" customHeight="false" outlineLevel="0" collapsed="false">
      <c r="A355" s="9"/>
      <c r="B355" s="10"/>
      <c r="C355" s="11" t="str">
        <f aca="false">IF(B355="","",IFERROR(INDEX('Câu hỏi'!$D$2:$D$21,MATCH(B355,'Câu hỏi'!$A$2:$A$21,0)),"Mã không có"))</f>
        <v/>
      </c>
      <c r="D355" s="10"/>
      <c r="E355" s="10"/>
      <c r="F355" s="10"/>
      <c r="G355" s="10"/>
      <c r="H355" s="10"/>
      <c r="I355" s="10"/>
      <c r="J355" s="10"/>
      <c r="K355" s="10"/>
      <c r="L355" s="10"/>
      <c r="M355" s="10"/>
    </row>
    <row r="356" customFormat="false" ht="15" hidden="false" customHeight="false" outlineLevel="0" collapsed="false">
      <c r="A356" s="9"/>
      <c r="B356" s="10"/>
      <c r="C356" s="11" t="str">
        <f aca="false">IF(B356="","",IFERROR(INDEX('Câu hỏi'!$D$2:$D$21,MATCH(B356,'Câu hỏi'!$A$2:$A$21,0)),"Mã không có"))</f>
        <v/>
      </c>
      <c r="D356" s="10"/>
      <c r="E356" s="10"/>
      <c r="F356" s="10"/>
      <c r="G356" s="10"/>
      <c r="H356" s="10"/>
      <c r="I356" s="10"/>
      <c r="J356" s="10"/>
      <c r="K356" s="10"/>
      <c r="L356" s="10"/>
      <c r="M356" s="10"/>
    </row>
    <row r="357" customFormat="false" ht="15" hidden="false" customHeight="false" outlineLevel="0" collapsed="false">
      <c r="A357" s="9"/>
      <c r="B357" s="10"/>
      <c r="C357" s="11" t="str">
        <f aca="false">IF(B357="","",IFERROR(INDEX('Câu hỏi'!$D$2:$D$21,MATCH(B357,'Câu hỏi'!$A$2:$A$21,0)),"Mã không có"))</f>
        <v/>
      </c>
      <c r="D357" s="10"/>
      <c r="E357" s="10"/>
      <c r="F357" s="10"/>
      <c r="G357" s="10"/>
      <c r="H357" s="10"/>
      <c r="I357" s="10"/>
      <c r="J357" s="10"/>
      <c r="K357" s="10"/>
      <c r="L357" s="10"/>
      <c r="M357" s="10"/>
    </row>
    <row r="358" customFormat="false" ht="15" hidden="false" customHeight="false" outlineLevel="0" collapsed="false">
      <c r="A358" s="9"/>
      <c r="B358" s="10"/>
      <c r="C358" s="11" t="str">
        <f aca="false">IF(B358="","",IFERROR(INDEX('Câu hỏi'!$D$2:$D$21,MATCH(B358,'Câu hỏi'!$A$2:$A$21,0)),"Mã không có"))</f>
        <v/>
      </c>
      <c r="D358" s="10"/>
      <c r="E358" s="10"/>
      <c r="F358" s="10"/>
      <c r="G358" s="10"/>
      <c r="H358" s="10"/>
      <c r="I358" s="10"/>
      <c r="J358" s="10"/>
      <c r="K358" s="10"/>
      <c r="L358" s="10"/>
      <c r="M358" s="10"/>
    </row>
    <row r="359" customFormat="false" ht="15" hidden="false" customHeight="false" outlineLevel="0" collapsed="false">
      <c r="A359" s="9"/>
      <c r="B359" s="10"/>
      <c r="C359" s="11" t="str">
        <f aca="false">IF(B359="","",IFERROR(INDEX('Câu hỏi'!$D$2:$D$21,MATCH(B359,'Câu hỏi'!$A$2:$A$21,0)),"Mã không có"))</f>
        <v/>
      </c>
      <c r="D359" s="10"/>
      <c r="E359" s="10"/>
      <c r="F359" s="10"/>
      <c r="G359" s="10"/>
      <c r="H359" s="10"/>
      <c r="I359" s="10"/>
      <c r="J359" s="10"/>
      <c r="K359" s="10"/>
      <c r="L359" s="10"/>
      <c r="M359" s="10"/>
    </row>
    <row r="360" customFormat="false" ht="15" hidden="false" customHeight="false" outlineLevel="0" collapsed="false">
      <c r="A360" s="9"/>
      <c r="B360" s="10"/>
      <c r="C360" s="11" t="str">
        <f aca="false">IF(B360="","",IFERROR(INDEX('Câu hỏi'!$D$2:$D$21,MATCH(B360,'Câu hỏi'!$A$2:$A$21,0)),"Mã không có"))</f>
        <v/>
      </c>
      <c r="D360" s="10"/>
      <c r="E360" s="10"/>
      <c r="F360" s="10"/>
      <c r="G360" s="10"/>
      <c r="H360" s="10"/>
      <c r="I360" s="10"/>
      <c r="J360" s="10"/>
      <c r="K360" s="10"/>
      <c r="L360" s="10"/>
      <c r="M360" s="10"/>
    </row>
    <row r="361" customFormat="false" ht="15" hidden="false" customHeight="false" outlineLevel="0" collapsed="false">
      <c r="A361" s="9"/>
      <c r="B361" s="10"/>
      <c r="C361" s="11" t="str">
        <f aca="false">IF(B361="","",IFERROR(INDEX('Câu hỏi'!$D$2:$D$21,MATCH(B361,'Câu hỏi'!$A$2:$A$21,0)),"Mã không có"))</f>
        <v/>
      </c>
      <c r="D361" s="10"/>
      <c r="E361" s="10"/>
      <c r="F361" s="10"/>
      <c r="G361" s="10"/>
      <c r="H361" s="10"/>
      <c r="I361" s="10"/>
      <c r="J361" s="10"/>
      <c r="K361" s="10"/>
      <c r="L361" s="10"/>
      <c r="M361" s="10"/>
    </row>
    <row r="362" customFormat="false" ht="15" hidden="false" customHeight="false" outlineLevel="0" collapsed="false">
      <c r="A362" s="9"/>
      <c r="B362" s="10"/>
      <c r="C362" s="11" t="str">
        <f aca="false">IF(B362="","",IFERROR(INDEX('Câu hỏi'!$D$2:$D$21,MATCH(B362,'Câu hỏi'!$A$2:$A$21,0)),"Mã không có"))</f>
        <v/>
      </c>
      <c r="D362" s="10"/>
      <c r="E362" s="10"/>
      <c r="F362" s="10"/>
      <c r="G362" s="10"/>
      <c r="H362" s="10"/>
      <c r="I362" s="10"/>
      <c r="J362" s="10"/>
      <c r="K362" s="10"/>
      <c r="L362" s="10"/>
      <c r="M362" s="10"/>
    </row>
    <row r="363" customFormat="false" ht="15" hidden="false" customHeight="false" outlineLevel="0" collapsed="false">
      <c r="A363" s="9"/>
      <c r="B363" s="10"/>
      <c r="C363" s="11" t="str">
        <f aca="false">IF(B363="","",IFERROR(INDEX('Câu hỏi'!$D$2:$D$21,MATCH(B363,'Câu hỏi'!$A$2:$A$21,0)),"Mã không có"))</f>
        <v/>
      </c>
      <c r="D363" s="10"/>
      <c r="E363" s="10"/>
      <c r="F363" s="10"/>
      <c r="G363" s="10"/>
      <c r="H363" s="10"/>
      <c r="I363" s="10"/>
      <c r="J363" s="10"/>
      <c r="K363" s="10"/>
      <c r="L363" s="10"/>
      <c r="M363" s="10"/>
    </row>
    <row r="364" customFormat="false" ht="15" hidden="false" customHeight="false" outlineLevel="0" collapsed="false">
      <c r="A364" s="9"/>
      <c r="B364" s="10"/>
      <c r="C364" s="11" t="str">
        <f aca="false">IF(B364="","",IFERROR(INDEX('Câu hỏi'!$D$2:$D$21,MATCH(B364,'Câu hỏi'!$A$2:$A$21,0)),"Mã không có"))</f>
        <v/>
      </c>
      <c r="D364" s="10"/>
      <c r="E364" s="10"/>
      <c r="F364" s="10"/>
      <c r="G364" s="10"/>
      <c r="H364" s="10"/>
      <c r="I364" s="10"/>
      <c r="J364" s="10"/>
      <c r="K364" s="10"/>
      <c r="L364" s="10"/>
      <c r="M364" s="10"/>
    </row>
    <row r="365" customFormat="false" ht="15" hidden="false" customHeight="false" outlineLevel="0" collapsed="false">
      <c r="A365" s="9"/>
      <c r="B365" s="10"/>
      <c r="C365" s="11" t="str">
        <f aca="false">IF(B365="","",IFERROR(INDEX('Câu hỏi'!$D$2:$D$21,MATCH(B365,'Câu hỏi'!$A$2:$A$21,0)),"Mã không có"))</f>
        <v/>
      </c>
      <c r="D365" s="10"/>
      <c r="E365" s="10"/>
      <c r="F365" s="10"/>
      <c r="G365" s="10"/>
      <c r="H365" s="10"/>
      <c r="I365" s="10"/>
      <c r="J365" s="10"/>
      <c r="K365" s="10"/>
      <c r="L365" s="10"/>
      <c r="M365" s="10"/>
    </row>
    <row r="366" customFormat="false" ht="15" hidden="false" customHeight="false" outlineLevel="0" collapsed="false">
      <c r="A366" s="9"/>
      <c r="B366" s="10"/>
      <c r="C366" s="11" t="str">
        <f aca="false">IF(B366="","",IFERROR(INDEX('Câu hỏi'!$D$2:$D$21,MATCH(B366,'Câu hỏi'!$A$2:$A$21,0)),"Mã không có"))</f>
        <v/>
      </c>
      <c r="D366" s="10"/>
      <c r="E366" s="10"/>
      <c r="F366" s="10"/>
      <c r="G366" s="10"/>
      <c r="H366" s="10"/>
      <c r="I366" s="10"/>
      <c r="J366" s="10"/>
      <c r="K366" s="10"/>
      <c r="L366" s="10"/>
      <c r="M366" s="10"/>
    </row>
    <row r="367" customFormat="false" ht="15" hidden="false" customHeight="false" outlineLevel="0" collapsed="false">
      <c r="A367" s="9"/>
      <c r="B367" s="10"/>
      <c r="C367" s="11" t="str">
        <f aca="false">IF(B367="","",IFERROR(INDEX('Câu hỏi'!$D$2:$D$21,MATCH(B367,'Câu hỏi'!$A$2:$A$21,0)),"Mã không có"))</f>
        <v/>
      </c>
      <c r="D367" s="10"/>
      <c r="E367" s="10"/>
      <c r="F367" s="10"/>
      <c r="G367" s="10"/>
      <c r="H367" s="10"/>
      <c r="I367" s="10"/>
      <c r="J367" s="10"/>
      <c r="K367" s="10"/>
      <c r="L367" s="10"/>
      <c r="M367" s="10"/>
    </row>
    <row r="368" customFormat="false" ht="15" hidden="false" customHeight="false" outlineLevel="0" collapsed="false">
      <c r="A368" s="9"/>
      <c r="B368" s="10"/>
      <c r="C368" s="11" t="str">
        <f aca="false">IF(B368="","",IFERROR(INDEX('Câu hỏi'!$D$2:$D$21,MATCH(B368,'Câu hỏi'!$A$2:$A$21,0)),"Mã không có"))</f>
        <v/>
      </c>
      <c r="D368" s="10"/>
      <c r="E368" s="10"/>
      <c r="F368" s="10"/>
      <c r="G368" s="10"/>
      <c r="H368" s="10"/>
      <c r="I368" s="10"/>
      <c r="J368" s="10"/>
      <c r="K368" s="10"/>
      <c r="L368" s="10"/>
      <c r="M368" s="10"/>
    </row>
    <row r="369" customFormat="false" ht="15" hidden="false" customHeight="false" outlineLevel="0" collapsed="false">
      <c r="A369" s="9"/>
      <c r="B369" s="10"/>
      <c r="C369" s="11" t="str">
        <f aca="false">IF(B369="","",IFERROR(INDEX('Câu hỏi'!$D$2:$D$21,MATCH(B369,'Câu hỏi'!$A$2:$A$21,0)),"Mã không có"))</f>
        <v/>
      </c>
      <c r="D369" s="10"/>
      <c r="E369" s="10"/>
      <c r="F369" s="10"/>
      <c r="G369" s="10"/>
      <c r="H369" s="10"/>
      <c r="I369" s="10"/>
      <c r="J369" s="10"/>
      <c r="K369" s="10"/>
      <c r="L369" s="10"/>
      <c r="M369" s="10"/>
    </row>
    <row r="370" customFormat="false" ht="15" hidden="false" customHeight="false" outlineLevel="0" collapsed="false">
      <c r="A370" s="9"/>
      <c r="B370" s="10"/>
      <c r="C370" s="11" t="str">
        <f aca="false">IF(B370="","",IFERROR(INDEX('Câu hỏi'!$D$2:$D$21,MATCH(B370,'Câu hỏi'!$A$2:$A$21,0)),"Mã không có"))</f>
        <v/>
      </c>
      <c r="D370" s="10"/>
      <c r="E370" s="10"/>
      <c r="F370" s="10"/>
      <c r="G370" s="10"/>
      <c r="H370" s="10"/>
      <c r="I370" s="10"/>
      <c r="J370" s="10"/>
      <c r="K370" s="10"/>
      <c r="L370" s="10"/>
      <c r="M370" s="10"/>
    </row>
    <row r="371" customFormat="false" ht="15" hidden="false" customHeight="false" outlineLevel="0" collapsed="false">
      <c r="A371" s="9"/>
      <c r="B371" s="10"/>
      <c r="C371" s="11" t="str">
        <f aca="false">IF(B371="","",IFERROR(INDEX('Câu hỏi'!$D$2:$D$21,MATCH(B371,'Câu hỏi'!$A$2:$A$21,0)),"Mã không có"))</f>
        <v/>
      </c>
      <c r="D371" s="10"/>
      <c r="E371" s="10"/>
      <c r="F371" s="10"/>
      <c r="G371" s="10"/>
      <c r="H371" s="10"/>
      <c r="I371" s="10"/>
      <c r="J371" s="10"/>
      <c r="K371" s="10"/>
      <c r="L371" s="10"/>
      <c r="M371" s="10"/>
    </row>
    <row r="372" customFormat="false" ht="15" hidden="false" customHeight="false" outlineLevel="0" collapsed="false">
      <c r="A372" s="9"/>
      <c r="B372" s="10"/>
      <c r="C372" s="11" t="str">
        <f aca="false">IF(B372="","",IFERROR(INDEX('Câu hỏi'!$D$2:$D$21,MATCH(B372,'Câu hỏi'!$A$2:$A$21,0)),"Mã không có"))</f>
        <v/>
      </c>
      <c r="D372" s="10"/>
      <c r="E372" s="10"/>
      <c r="F372" s="10"/>
      <c r="G372" s="10"/>
      <c r="H372" s="10"/>
      <c r="I372" s="10"/>
      <c r="J372" s="10"/>
      <c r="K372" s="10"/>
      <c r="L372" s="10"/>
      <c r="M372" s="10"/>
    </row>
    <row r="373" customFormat="false" ht="15" hidden="false" customHeight="false" outlineLevel="0" collapsed="false">
      <c r="A373" s="9"/>
      <c r="B373" s="10"/>
      <c r="C373" s="11" t="str">
        <f aca="false">IF(B373="","",IFERROR(INDEX('Câu hỏi'!$D$2:$D$21,MATCH(B373,'Câu hỏi'!$A$2:$A$21,0)),"Mã không có"))</f>
        <v/>
      </c>
      <c r="D373" s="10"/>
      <c r="E373" s="10"/>
      <c r="F373" s="10"/>
      <c r="G373" s="10"/>
      <c r="H373" s="10"/>
      <c r="I373" s="10"/>
      <c r="J373" s="10"/>
      <c r="K373" s="10"/>
      <c r="L373" s="10"/>
      <c r="M373" s="10"/>
    </row>
    <row r="374" customFormat="false" ht="15" hidden="false" customHeight="false" outlineLevel="0" collapsed="false">
      <c r="A374" s="9"/>
      <c r="B374" s="10"/>
      <c r="C374" s="11" t="str">
        <f aca="false">IF(B374="","",IFERROR(INDEX('Câu hỏi'!$D$2:$D$21,MATCH(B374,'Câu hỏi'!$A$2:$A$21,0)),"Mã không có"))</f>
        <v/>
      </c>
      <c r="D374" s="10"/>
      <c r="E374" s="10"/>
      <c r="F374" s="10"/>
      <c r="G374" s="10"/>
      <c r="H374" s="10"/>
      <c r="I374" s="10"/>
      <c r="J374" s="10"/>
      <c r="K374" s="10"/>
      <c r="L374" s="10"/>
      <c r="M374" s="10"/>
    </row>
    <row r="375" customFormat="false" ht="15" hidden="false" customHeight="false" outlineLevel="0" collapsed="false">
      <c r="A375" s="9"/>
      <c r="B375" s="10"/>
      <c r="C375" s="11" t="str">
        <f aca="false">IF(B375="","",IFERROR(INDEX('Câu hỏi'!$D$2:$D$21,MATCH(B375,'Câu hỏi'!$A$2:$A$21,0)),"Mã không có"))</f>
        <v/>
      </c>
      <c r="D375" s="10"/>
      <c r="E375" s="10"/>
      <c r="F375" s="10"/>
      <c r="G375" s="10"/>
      <c r="H375" s="10"/>
      <c r="I375" s="10"/>
      <c r="J375" s="10"/>
      <c r="K375" s="10"/>
      <c r="L375" s="10"/>
      <c r="M375" s="10"/>
    </row>
    <row r="376" customFormat="false" ht="15" hidden="false" customHeight="false" outlineLevel="0" collapsed="false">
      <c r="A376" s="9"/>
      <c r="B376" s="10"/>
      <c r="C376" s="11" t="str">
        <f aca="false">IF(B376="","",IFERROR(INDEX('Câu hỏi'!$D$2:$D$21,MATCH(B376,'Câu hỏi'!$A$2:$A$21,0)),"Mã không có"))</f>
        <v/>
      </c>
      <c r="D376" s="10"/>
      <c r="E376" s="10"/>
      <c r="F376" s="10"/>
      <c r="G376" s="10"/>
      <c r="H376" s="10"/>
      <c r="I376" s="10"/>
      <c r="J376" s="10"/>
      <c r="K376" s="10"/>
      <c r="L376" s="10"/>
      <c r="M376" s="10"/>
    </row>
    <row r="377" customFormat="false" ht="15" hidden="false" customHeight="false" outlineLevel="0" collapsed="false">
      <c r="A377" s="9"/>
      <c r="B377" s="10"/>
      <c r="C377" s="11" t="str">
        <f aca="false">IF(B377="","",IFERROR(INDEX('Câu hỏi'!$D$2:$D$21,MATCH(B377,'Câu hỏi'!$A$2:$A$21,0)),"Mã không có"))</f>
        <v/>
      </c>
      <c r="D377" s="10"/>
      <c r="E377" s="10"/>
      <c r="F377" s="10"/>
      <c r="G377" s="10"/>
      <c r="H377" s="10"/>
      <c r="I377" s="10"/>
      <c r="J377" s="10"/>
      <c r="K377" s="10"/>
      <c r="L377" s="10"/>
      <c r="M377" s="10"/>
    </row>
    <row r="378" customFormat="false" ht="15" hidden="false" customHeight="false" outlineLevel="0" collapsed="false">
      <c r="A378" s="9"/>
      <c r="B378" s="10"/>
      <c r="C378" s="11" t="str">
        <f aca="false">IF(B378="","",IFERROR(INDEX('Câu hỏi'!$D$2:$D$21,MATCH(B378,'Câu hỏi'!$A$2:$A$21,0)),"Mã không có"))</f>
        <v/>
      </c>
      <c r="D378" s="10"/>
      <c r="E378" s="10"/>
      <c r="F378" s="10"/>
      <c r="G378" s="10"/>
      <c r="H378" s="10"/>
      <c r="I378" s="10"/>
      <c r="J378" s="10"/>
      <c r="K378" s="10"/>
      <c r="L378" s="10"/>
      <c r="M378" s="10"/>
    </row>
    <row r="379" customFormat="false" ht="15" hidden="false" customHeight="false" outlineLevel="0" collapsed="false">
      <c r="A379" s="9"/>
      <c r="B379" s="10"/>
      <c r="C379" s="11" t="str">
        <f aca="false">IF(B379="","",IFERROR(INDEX('Câu hỏi'!$D$2:$D$21,MATCH(B379,'Câu hỏi'!$A$2:$A$21,0)),"Mã không có"))</f>
        <v/>
      </c>
      <c r="D379" s="10"/>
      <c r="E379" s="10"/>
      <c r="F379" s="10"/>
      <c r="G379" s="10"/>
      <c r="H379" s="10"/>
      <c r="I379" s="10"/>
      <c r="J379" s="10"/>
      <c r="K379" s="10"/>
      <c r="L379" s="10"/>
      <c r="M379" s="10"/>
    </row>
    <row r="380" customFormat="false" ht="15" hidden="false" customHeight="false" outlineLevel="0" collapsed="false">
      <c r="A380" s="9"/>
      <c r="B380" s="10"/>
      <c r="C380" s="11" t="str">
        <f aca="false">IF(B380="","",IFERROR(INDEX('Câu hỏi'!$D$2:$D$21,MATCH(B380,'Câu hỏi'!$A$2:$A$21,0)),"Mã không có"))</f>
        <v/>
      </c>
      <c r="D380" s="10"/>
      <c r="E380" s="10"/>
      <c r="F380" s="10"/>
      <c r="G380" s="10"/>
      <c r="H380" s="10"/>
      <c r="I380" s="10"/>
      <c r="J380" s="10"/>
      <c r="K380" s="10"/>
      <c r="L380" s="10"/>
      <c r="M380" s="10"/>
    </row>
    <row r="381" customFormat="false" ht="15" hidden="false" customHeight="false" outlineLevel="0" collapsed="false">
      <c r="A381" s="9"/>
      <c r="B381" s="10"/>
      <c r="C381" s="11" t="str">
        <f aca="false">IF(B381="","",IFERROR(INDEX('Câu hỏi'!$D$2:$D$21,MATCH(B381,'Câu hỏi'!$A$2:$A$21,0)),"Mã không có"))</f>
        <v/>
      </c>
      <c r="D381" s="10"/>
      <c r="E381" s="10"/>
      <c r="F381" s="10"/>
      <c r="G381" s="10"/>
      <c r="H381" s="10"/>
      <c r="I381" s="10"/>
      <c r="J381" s="10"/>
      <c r="K381" s="10"/>
      <c r="L381" s="10"/>
      <c r="M381" s="10"/>
    </row>
    <row r="382" customFormat="false" ht="15" hidden="false" customHeight="false" outlineLevel="0" collapsed="false">
      <c r="A382" s="9"/>
      <c r="B382" s="10"/>
      <c r="C382" s="11" t="str">
        <f aca="false">IF(B382="","",IFERROR(INDEX('Câu hỏi'!$D$2:$D$21,MATCH(B382,'Câu hỏi'!$A$2:$A$21,0)),"Mã không có"))</f>
        <v/>
      </c>
      <c r="D382" s="10"/>
      <c r="E382" s="10"/>
      <c r="F382" s="10"/>
      <c r="G382" s="10"/>
      <c r="H382" s="10"/>
      <c r="I382" s="10"/>
      <c r="J382" s="10"/>
      <c r="K382" s="10"/>
      <c r="L382" s="10"/>
      <c r="M382" s="10"/>
    </row>
    <row r="383" customFormat="false" ht="15" hidden="false" customHeight="false" outlineLevel="0" collapsed="false">
      <c r="A383" s="9"/>
      <c r="B383" s="10"/>
      <c r="C383" s="11" t="str">
        <f aca="false">IF(B383="","",IFERROR(INDEX('Câu hỏi'!$D$2:$D$21,MATCH(B383,'Câu hỏi'!$A$2:$A$21,0)),"Mã không có"))</f>
        <v/>
      </c>
      <c r="D383" s="10"/>
      <c r="E383" s="10"/>
      <c r="F383" s="10"/>
      <c r="G383" s="10"/>
      <c r="H383" s="10"/>
      <c r="I383" s="10"/>
      <c r="J383" s="10"/>
      <c r="K383" s="10"/>
      <c r="L383" s="10"/>
      <c r="M383" s="10"/>
    </row>
    <row r="384" customFormat="false" ht="15" hidden="false" customHeight="false" outlineLevel="0" collapsed="false">
      <c r="A384" s="9"/>
      <c r="B384" s="10"/>
      <c r="C384" s="11" t="str">
        <f aca="false">IF(B384="","",IFERROR(INDEX('Câu hỏi'!$D$2:$D$21,MATCH(B384,'Câu hỏi'!$A$2:$A$21,0)),"Mã không có"))</f>
        <v/>
      </c>
      <c r="D384" s="10"/>
      <c r="E384" s="10"/>
      <c r="F384" s="10"/>
      <c r="G384" s="10"/>
      <c r="H384" s="10"/>
      <c r="I384" s="10"/>
      <c r="J384" s="10"/>
      <c r="K384" s="10"/>
      <c r="L384" s="10"/>
      <c r="M384" s="10"/>
    </row>
    <row r="385" customFormat="false" ht="15" hidden="false" customHeight="false" outlineLevel="0" collapsed="false">
      <c r="A385" s="9"/>
      <c r="B385" s="10"/>
      <c r="C385" s="11" t="str">
        <f aca="false">IF(B385="","",IFERROR(INDEX('Câu hỏi'!$D$2:$D$21,MATCH(B385,'Câu hỏi'!$A$2:$A$21,0)),"Mã không có"))</f>
        <v/>
      </c>
      <c r="D385" s="10"/>
      <c r="E385" s="10"/>
      <c r="F385" s="10"/>
      <c r="G385" s="10"/>
      <c r="H385" s="10"/>
      <c r="I385" s="10"/>
      <c r="J385" s="10"/>
      <c r="K385" s="10"/>
      <c r="L385" s="10"/>
      <c r="M385" s="10"/>
    </row>
    <row r="386" customFormat="false" ht="15" hidden="false" customHeight="false" outlineLevel="0" collapsed="false">
      <c r="A386" s="9"/>
      <c r="B386" s="10"/>
      <c r="C386" s="11" t="str">
        <f aca="false">IF(B386="","",IFERROR(INDEX('Câu hỏi'!$D$2:$D$21,MATCH(B386,'Câu hỏi'!$A$2:$A$21,0)),"Mã không có"))</f>
        <v/>
      </c>
      <c r="D386" s="10"/>
      <c r="E386" s="10"/>
      <c r="F386" s="10"/>
      <c r="G386" s="10"/>
      <c r="H386" s="10"/>
      <c r="I386" s="10"/>
      <c r="J386" s="10"/>
      <c r="K386" s="10"/>
      <c r="L386" s="10"/>
      <c r="M386" s="10"/>
    </row>
    <row r="387" customFormat="false" ht="15" hidden="false" customHeight="false" outlineLevel="0" collapsed="false">
      <c r="A387" s="9"/>
      <c r="B387" s="10"/>
      <c r="C387" s="11" t="str">
        <f aca="false">IF(B387="","",IFERROR(INDEX('Câu hỏi'!$D$2:$D$21,MATCH(B387,'Câu hỏi'!$A$2:$A$21,0)),"Mã không có"))</f>
        <v/>
      </c>
      <c r="D387" s="10"/>
      <c r="E387" s="10"/>
      <c r="F387" s="10"/>
      <c r="G387" s="10"/>
      <c r="H387" s="10"/>
      <c r="I387" s="10"/>
      <c r="J387" s="10"/>
      <c r="K387" s="10"/>
      <c r="L387" s="10"/>
      <c r="M387" s="10"/>
    </row>
    <row r="388" customFormat="false" ht="15" hidden="false" customHeight="false" outlineLevel="0" collapsed="false">
      <c r="A388" s="9"/>
      <c r="B388" s="10"/>
      <c r="C388" s="11" t="str">
        <f aca="false">IF(B388="","",IFERROR(INDEX('Câu hỏi'!$D$2:$D$21,MATCH(B388,'Câu hỏi'!$A$2:$A$21,0)),"Mã không có"))</f>
        <v/>
      </c>
      <c r="D388" s="10"/>
      <c r="E388" s="10"/>
      <c r="F388" s="10"/>
      <c r="G388" s="10"/>
      <c r="H388" s="10"/>
      <c r="I388" s="10"/>
      <c r="J388" s="10"/>
      <c r="K388" s="10"/>
      <c r="L388" s="10"/>
      <c r="M388" s="10"/>
    </row>
    <row r="389" customFormat="false" ht="15" hidden="false" customHeight="false" outlineLevel="0" collapsed="false">
      <c r="A389" s="9"/>
      <c r="B389" s="10"/>
      <c r="C389" s="11" t="str">
        <f aca="false">IF(B389="","",IFERROR(INDEX('Câu hỏi'!$D$2:$D$21,MATCH(B389,'Câu hỏi'!$A$2:$A$21,0)),"Mã không có"))</f>
        <v/>
      </c>
      <c r="D389" s="10"/>
      <c r="E389" s="10"/>
      <c r="F389" s="10"/>
      <c r="G389" s="10"/>
      <c r="H389" s="10"/>
      <c r="I389" s="10"/>
      <c r="J389" s="10"/>
      <c r="K389" s="10"/>
      <c r="L389" s="10"/>
      <c r="M389" s="10"/>
    </row>
    <row r="390" customFormat="false" ht="15" hidden="false" customHeight="false" outlineLevel="0" collapsed="false">
      <c r="A390" s="9"/>
      <c r="B390" s="10"/>
      <c r="C390" s="11" t="str">
        <f aca="false">IF(B390="","",IFERROR(INDEX('Câu hỏi'!$D$2:$D$21,MATCH(B390,'Câu hỏi'!$A$2:$A$21,0)),"Mã không có"))</f>
        <v/>
      </c>
      <c r="D390" s="10"/>
      <c r="E390" s="10"/>
      <c r="F390" s="10"/>
      <c r="G390" s="10"/>
      <c r="H390" s="10"/>
      <c r="I390" s="10"/>
      <c r="J390" s="10"/>
      <c r="K390" s="10"/>
      <c r="L390" s="10"/>
      <c r="M390" s="10"/>
    </row>
    <row r="391" customFormat="false" ht="15" hidden="false" customHeight="false" outlineLevel="0" collapsed="false">
      <c r="A391" s="9"/>
      <c r="B391" s="10"/>
      <c r="C391" s="11" t="str">
        <f aca="false">IF(B391="","",IFERROR(INDEX('Câu hỏi'!$D$2:$D$21,MATCH(B391,'Câu hỏi'!$A$2:$A$21,0)),"Mã không có"))</f>
        <v/>
      </c>
      <c r="D391" s="10"/>
      <c r="E391" s="10"/>
      <c r="F391" s="10"/>
      <c r="G391" s="10"/>
      <c r="H391" s="10"/>
      <c r="I391" s="10"/>
      <c r="J391" s="10"/>
      <c r="K391" s="10"/>
      <c r="L391" s="10"/>
      <c r="M391" s="10"/>
    </row>
    <row r="392" customFormat="false" ht="15" hidden="false" customHeight="false" outlineLevel="0" collapsed="false">
      <c r="A392" s="9"/>
      <c r="B392" s="10"/>
      <c r="C392" s="11" t="str">
        <f aca="false">IF(B392="","",IFERROR(INDEX('Câu hỏi'!$D$2:$D$21,MATCH(B392,'Câu hỏi'!$A$2:$A$21,0)),"Mã không có"))</f>
        <v/>
      </c>
      <c r="D392" s="10"/>
      <c r="E392" s="10"/>
      <c r="F392" s="10"/>
      <c r="G392" s="10"/>
      <c r="H392" s="10"/>
      <c r="I392" s="10"/>
      <c r="J392" s="10"/>
      <c r="K392" s="10"/>
      <c r="L392" s="10"/>
      <c r="M392" s="10"/>
    </row>
    <row r="393" customFormat="false" ht="15" hidden="false" customHeight="false" outlineLevel="0" collapsed="false">
      <c r="A393" s="9"/>
      <c r="B393" s="10"/>
      <c r="C393" s="11" t="str">
        <f aca="false">IF(B393="","",IFERROR(INDEX('Câu hỏi'!$D$2:$D$21,MATCH(B393,'Câu hỏi'!$A$2:$A$21,0)),"Mã không có"))</f>
        <v/>
      </c>
      <c r="D393" s="10"/>
      <c r="E393" s="10"/>
      <c r="F393" s="10"/>
      <c r="G393" s="10"/>
      <c r="H393" s="10"/>
      <c r="I393" s="10"/>
      <c r="J393" s="10"/>
      <c r="K393" s="10"/>
      <c r="L393" s="10"/>
      <c r="M393" s="10"/>
    </row>
    <row r="394" customFormat="false" ht="15" hidden="false" customHeight="false" outlineLevel="0" collapsed="false">
      <c r="A394" s="9"/>
      <c r="B394" s="10"/>
      <c r="C394" s="11" t="str">
        <f aca="false">IF(B394="","",IFERROR(INDEX('Câu hỏi'!$D$2:$D$21,MATCH(B394,'Câu hỏi'!$A$2:$A$21,0)),"Mã không có"))</f>
        <v/>
      </c>
      <c r="D394" s="10"/>
      <c r="E394" s="10"/>
      <c r="F394" s="10"/>
      <c r="G394" s="10"/>
      <c r="H394" s="10"/>
      <c r="I394" s="10"/>
      <c r="J394" s="10"/>
      <c r="K394" s="10"/>
      <c r="L394" s="10"/>
      <c r="M394" s="10"/>
    </row>
    <row r="395" customFormat="false" ht="15" hidden="false" customHeight="false" outlineLevel="0" collapsed="false">
      <c r="A395" s="9"/>
      <c r="B395" s="10"/>
      <c r="C395" s="11" t="str">
        <f aca="false">IF(B395="","",IFERROR(INDEX('Câu hỏi'!$D$2:$D$21,MATCH(B395,'Câu hỏi'!$A$2:$A$21,0)),"Mã không có"))</f>
        <v/>
      </c>
      <c r="D395" s="10"/>
      <c r="E395" s="10"/>
      <c r="F395" s="10"/>
      <c r="G395" s="10"/>
      <c r="H395" s="10"/>
      <c r="I395" s="10"/>
      <c r="J395" s="10"/>
      <c r="K395" s="10"/>
      <c r="L395" s="10"/>
      <c r="M395" s="10"/>
    </row>
    <row r="396" customFormat="false" ht="15" hidden="false" customHeight="false" outlineLevel="0" collapsed="false">
      <c r="A396" s="9"/>
      <c r="B396" s="10"/>
      <c r="C396" s="11" t="str">
        <f aca="false">IF(B396="","",IFERROR(INDEX('Câu hỏi'!$D$2:$D$21,MATCH(B396,'Câu hỏi'!$A$2:$A$21,0)),"Mã không có"))</f>
        <v/>
      </c>
      <c r="D396" s="10"/>
      <c r="E396" s="10"/>
      <c r="F396" s="10"/>
      <c r="G396" s="10"/>
      <c r="H396" s="10"/>
      <c r="I396" s="10"/>
      <c r="J396" s="10"/>
      <c r="K396" s="10"/>
      <c r="L396" s="10"/>
      <c r="M396" s="10"/>
    </row>
    <row r="397" customFormat="false" ht="15" hidden="false" customHeight="false" outlineLevel="0" collapsed="false">
      <c r="A397" s="9"/>
      <c r="B397" s="10"/>
      <c r="C397" s="11" t="str">
        <f aca="false">IF(B397="","",IFERROR(INDEX('Câu hỏi'!$D$2:$D$21,MATCH(B397,'Câu hỏi'!$A$2:$A$21,0)),"Mã không có"))</f>
        <v/>
      </c>
      <c r="D397" s="10"/>
      <c r="E397" s="10"/>
      <c r="F397" s="10"/>
      <c r="G397" s="10"/>
      <c r="H397" s="10"/>
      <c r="I397" s="10"/>
      <c r="J397" s="10"/>
      <c r="K397" s="10"/>
      <c r="L397" s="10"/>
      <c r="M397" s="10"/>
    </row>
    <row r="398" customFormat="false" ht="15" hidden="false" customHeight="false" outlineLevel="0" collapsed="false">
      <c r="A398" s="9"/>
      <c r="B398" s="10"/>
      <c r="C398" s="11" t="str">
        <f aca="false">IF(B398="","",IFERROR(INDEX('Câu hỏi'!$D$2:$D$21,MATCH(B398,'Câu hỏi'!$A$2:$A$21,0)),"Mã không có"))</f>
        <v/>
      </c>
      <c r="D398" s="10"/>
      <c r="E398" s="10"/>
      <c r="F398" s="10"/>
      <c r="G398" s="10"/>
      <c r="H398" s="10"/>
      <c r="I398" s="10"/>
      <c r="J398" s="10"/>
      <c r="K398" s="10"/>
      <c r="L398" s="10"/>
      <c r="M398" s="10"/>
    </row>
    <row r="399" customFormat="false" ht="15" hidden="false" customHeight="false" outlineLevel="0" collapsed="false">
      <c r="A399" s="9"/>
      <c r="B399" s="10"/>
      <c r="C399" s="11" t="str">
        <f aca="false">IF(B399="","",IFERROR(INDEX('Câu hỏi'!$D$2:$D$21,MATCH(B399,'Câu hỏi'!$A$2:$A$21,0)),"Mã không có"))</f>
        <v/>
      </c>
      <c r="D399" s="10"/>
      <c r="E399" s="10"/>
      <c r="F399" s="10"/>
      <c r="G399" s="10"/>
      <c r="H399" s="10"/>
      <c r="I399" s="10"/>
      <c r="J399" s="10"/>
      <c r="K399" s="10"/>
      <c r="L399" s="10"/>
      <c r="M399" s="10"/>
    </row>
    <row r="400" customFormat="false" ht="15" hidden="false" customHeight="false" outlineLevel="0" collapsed="false">
      <c r="A400" s="9"/>
      <c r="B400" s="10"/>
      <c r="C400" s="11" t="str">
        <f aca="false">IF(B400="","",IFERROR(INDEX('Câu hỏi'!$D$2:$D$21,MATCH(B400,'Câu hỏi'!$A$2:$A$21,0)),"Mã không có"))</f>
        <v/>
      </c>
      <c r="D400" s="10"/>
      <c r="E400" s="10"/>
      <c r="F400" s="10"/>
      <c r="G400" s="10"/>
      <c r="H400" s="10"/>
      <c r="I400" s="10"/>
      <c r="J400" s="10"/>
      <c r="K400" s="10"/>
      <c r="L400" s="10"/>
      <c r="M400" s="10"/>
    </row>
    <row r="401" customFormat="false" ht="15" hidden="false" customHeight="false" outlineLevel="0" collapsed="false">
      <c r="A401" s="9"/>
      <c r="B401" s="10"/>
      <c r="C401" s="11" t="str">
        <f aca="false">IF(B401="","",IFERROR(INDEX('Câu hỏi'!$D$2:$D$21,MATCH(B401,'Câu hỏi'!$A$2:$A$21,0)),"Mã không có"))</f>
        <v/>
      </c>
      <c r="D401" s="10"/>
      <c r="E401" s="10"/>
      <c r="F401" s="10"/>
      <c r="G401" s="10"/>
      <c r="H401" s="10"/>
      <c r="I401" s="10"/>
      <c r="J401" s="10"/>
      <c r="K401" s="10"/>
      <c r="L401" s="10"/>
      <c r="M401" s="10"/>
    </row>
    <row r="402" customFormat="false" ht="15" hidden="false" customHeight="false" outlineLevel="0" collapsed="false">
      <c r="A402" s="9"/>
      <c r="B402" s="10"/>
      <c r="C402" s="11" t="str">
        <f aca="false">IF(B402="","",IFERROR(INDEX('Câu hỏi'!$D$2:$D$21,MATCH(B402,'Câu hỏi'!$A$2:$A$21,0)),"Mã không có"))</f>
        <v/>
      </c>
      <c r="D402" s="10"/>
      <c r="E402" s="10"/>
      <c r="F402" s="10"/>
      <c r="G402" s="10"/>
      <c r="H402" s="10"/>
      <c r="I402" s="10"/>
      <c r="J402" s="10"/>
      <c r="K402" s="10"/>
      <c r="L402" s="10"/>
      <c r="M402" s="10"/>
    </row>
    <row r="403" customFormat="false" ht="15" hidden="false" customHeight="false" outlineLevel="0" collapsed="false">
      <c r="A403" s="9"/>
      <c r="B403" s="10"/>
      <c r="C403" s="11" t="str">
        <f aca="false">IF(B403="","",IFERROR(INDEX('Câu hỏi'!$D$2:$D$21,MATCH(B403,'Câu hỏi'!$A$2:$A$21,0)),"Mã không có"))</f>
        <v/>
      </c>
      <c r="D403" s="10"/>
      <c r="E403" s="10"/>
      <c r="F403" s="10"/>
      <c r="G403" s="10"/>
      <c r="H403" s="10"/>
      <c r="I403" s="10"/>
      <c r="J403" s="10"/>
      <c r="K403" s="10"/>
      <c r="L403" s="10"/>
      <c r="M403" s="10"/>
    </row>
    <row r="404" customFormat="false" ht="15" hidden="false" customHeight="false" outlineLevel="0" collapsed="false">
      <c r="A404" s="9"/>
      <c r="B404" s="10"/>
      <c r="C404" s="11" t="str">
        <f aca="false">IF(B404="","",IFERROR(INDEX('Câu hỏi'!$D$2:$D$21,MATCH(B404,'Câu hỏi'!$A$2:$A$21,0)),"Mã không có"))</f>
        <v/>
      </c>
      <c r="D404" s="10"/>
      <c r="E404" s="10"/>
      <c r="F404" s="10"/>
      <c r="G404" s="10"/>
      <c r="H404" s="10"/>
      <c r="I404" s="10"/>
      <c r="J404" s="10"/>
      <c r="K404" s="10"/>
      <c r="L404" s="10"/>
      <c r="M404" s="10"/>
    </row>
    <row r="405" customFormat="false" ht="15" hidden="false" customHeight="false" outlineLevel="0" collapsed="false">
      <c r="A405" s="9"/>
      <c r="B405" s="10"/>
      <c r="C405" s="11" t="str">
        <f aca="false">IF(B405="","",IFERROR(INDEX('Câu hỏi'!$D$2:$D$21,MATCH(B405,'Câu hỏi'!$A$2:$A$21,0)),"Mã không có"))</f>
        <v/>
      </c>
      <c r="D405" s="10"/>
      <c r="E405" s="10"/>
      <c r="F405" s="10"/>
      <c r="G405" s="10"/>
      <c r="H405" s="10"/>
      <c r="I405" s="10"/>
      <c r="J405" s="10"/>
      <c r="K405" s="10"/>
      <c r="L405" s="10"/>
      <c r="M405" s="10"/>
    </row>
    <row r="406" customFormat="false" ht="15" hidden="false" customHeight="false" outlineLevel="0" collapsed="false">
      <c r="A406" s="9"/>
      <c r="B406" s="10"/>
      <c r="C406" s="11" t="str">
        <f aca="false">IF(B406="","",IFERROR(INDEX('Câu hỏi'!$D$2:$D$21,MATCH(B406,'Câu hỏi'!$A$2:$A$21,0)),"Mã không có"))</f>
        <v/>
      </c>
      <c r="D406" s="10"/>
      <c r="E406" s="10"/>
      <c r="F406" s="10"/>
      <c r="G406" s="10"/>
      <c r="H406" s="10"/>
      <c r="I406" s="10"/>
      <c r="J406" s="10"/>
      <c r="K406" s="10"/>
      <c r="L406" s="10"/>
      <c r="M406" s="10"/>
    </row>
    <row r="407" customFormat="false" ht="15" hidden="false" customHeight="false" outlineLevel="0" collapsed="false">
      <c r="A407" s="9"/>
      <c r="B407" s="10"/>
      <c r="C407" s="11" t="str">
        <f aca="false">IF(B407="","",IFERROR(INDEX('Câu hỏi'!$D$2:$D$21,MATCH(B407,'Câu hỏi'!$A$2:$A$21,0)),"Mã không có"))</f>
        <v/>
      </c>
      <c r="D407" s="10"/>
      <c r="E407" s="10"/>
      <c r="F407" s="10"/>
      <c r="G407" s="10"/>
      <c r="H407" s="10"/>
      <c r="I407" s="10"/>
      <c r="J407" s="10"/>
      <c r="K407" s="10"/>
      <c r="L407" s="10"/>
      <c r="M407" s="10"/>
    </row>
    <row r="408" customFormat="false" ht="15" hidden="false" customHeight="false" outlineLevel="0" collapsed="false">
      <c r="A408" s="9"/>
      <c r="B408" s="10"/>
      <c r="C408" s="11" t="str">
        <f aca="false">IF(B408="","",IFERROR(INDEX('Câu hỏi'!$D$2:$D$21,MATCH(B408,'Câu hỏi'!$A$2:$A$21,0)),"Mã không có"))</f>
        <v/>
      </c>
      <c r="D408" s="10"/>
      <c r="E408" s="10"/>
      <c r="F408" s="10"/>
      <c r="G408" s="10"/>
      <c r="H408" s="10"/>
      <c r="I408" s="10"/>
      <c r="J408" s="10"/>
      <c r="K408" s="10"/>
      <c r="L408" s="10"/>
      <c r="M408" s="10"/>
    </row>
    <row r="409" customFormat="false" ht="15" hidden="false" customHeight="false" outlineLevel="0" collapsed="false">
      <c r="A409" s="9"/>
      <c r="B409" s="10"/>
      <c r="C409" s="11" t="str">
        <f aca="false">IF(B409="","",IFERROR(INDEX('Câu hỏi'!$D$2:$D$21,MATCH(B409,'Câu hỏi'!$A$2:$A$21,0)),"Mã không có"))</f>
        <v/>
      </c>
      <c r="D409" s="10"/>
      <c r="E409" s="10"/>
      <c r="F409" s="10"/>
      <c r="G409" s="10"/>
      <c r="H409" s="10"/>
      <c r="I409" s="10"/>
      <c r="J409" s="10"/>
      <c r="K409" s="10"/>
      <c r="L409" s="10"/>
      <c r="M409" s="10"/>
    </row>
    <row r="410" customFormat="false" ht="15" hidden="false" customHeight="false" outlineLevel="0" collapsed="false">
      <c r="A410" s="9"/>
      <c r="B410" s="10"/>
      <c r="C410" s="11" t="str">
        <f aca="false">IF(B410="","",IFERROR(INDEX('Câu hỏi'!$D$2:$D$21,MATCH(B410,'Câu hỏi'!$A$2:$A$21,0)),"Mã không có"))</f>
        <v/>
      </c>
      <c r="D410" s="10"/>
      <c r="E410" s="10"/>
      <c r="F410" s="10"/>
      <c r="G410" s="10"/>
      <c r="H410" s="10"/>
      <c r="I410" s="10"/>
      <c r="J410" s="10"/>
      <c r="K410" s="10"/>
      <c r="L410" s="10"/>
      <c r="M410" s="10"/>
    </row>
    <row r="411" customFormat="false" ht="15" hidden="false" customHeight="false" outlineLevel="0" collapsed="false">
      <c r="A411" s="9"/>
      <c r="B411" s="10"/>
      <c r="C411" s="11" t="str">
        <f aca="false">IF(B411="","",IFERROR(INDEX('Câu hỏi'!$D$2:$D$21,MATCH(B411,'Câu hỏi'!$A$2:$A$21,0)),"Mã không có"))</f>
        <v/>
      </c>
      <c r="D411" s="10"/>
      <c r="E411" s="10"/>
      <c r="F411" s="10"/>
      <c r="G411" s="10"/>
      <c r="H411" s="10"/>
      <c r="I411" s="10"/>
      <c r="J411" s="10"/>
      <c r="K411" s="10"/>
      <c r="L411" s="10"/>
      <c r="M411" s="10"/>
    </row>
    <row r="412" customFormat="false" ht="15" hidden="false" customHeight="false" outlineLevel="0" collapsed="false">
      <c r="A412" s="9"/>
      <c r="B412" s="10"/>
      <c r="C412" s="11" t="str">
        <f aca="false">IF(B412="","",IFERROR(INDEX('Câu hỏi'!$D$2:$D$21,MATCH(B412,'Câu hỏi'!$A$2:$A$21,0)),"Mã không có"))</f>
        <v/>
      </c>
      <c r="D412" s="10"/>
      <c r="E412" s="10"/>
      <c r="F412" s="10"/>
      <c r="G412" s="10"/>
      <c r="H412" s="10"/>
      <c r="I412" s="10"/>
      <c r="J412" s="10"/>
      <c r="K412" s="10"/>
      <c r="L412" s="10"/>
      <c r="M412" s="10"/>
    </row>
    <row r="413" customFormat="false" ht="15" hidden="false" customHeight="false" outlineLevel="0" collapsed="false">
      <c r="A413" s="9"/>
      <c r="B413" s="10"/>
      <c r="C413" s="11" t="str">
        <f aca="false">IF(B413="","",IFERROR(INDEX('Câu hỏi'!$D$2:$D$21,MATCH(B413,'Câu hỏi'!$A$2:$A$21,0)),"Mã không có"))</f>
        <v/>
      </c>
      <c r="D413" s="10"/>
      <c r="E413" s="10"/>
      <c r="F413" s="10"/>
      <c r="G413" s="10"/>
      <c r="H413" s="10"/>
      <c r="I413" s="10"/>
      <c r="J413" s="10"/>
      <c r="K413" s="10"/>
      <c r="L413" s="10"/>
      <c r="M413" s="10"/>
    </row>
    <row r="414" customFormat="false" ht="15" hidden="false" customHeight="false" outlineLevel="0" collapsed="false">
      <c r="A414" s="9"/>
      <c r="B414" s="10"/>
      <c r="C414" s="11" t="str">
        <f aca="false">IF(B414="","",IFERROR(INDEX('Câu hỏi'!$D$2:$D$21,MATCH(B414,'Câu hỏi'!$A$2:$A$21,0)),"Mã không có"))</f>
        <v/>
      </c>
      <c r="D414" s="10"/>
      <c r="E414" s="10"/>
      <c r="F414" s="10"/>
      <c r="G414" s="10"/>
      <c r="H414" s="10"/>
      <c r="I414" s="10"/>
      <c r="J414" s="10"/>
      <c r="K414" s="10"/>
      <c r="L414" s="10"/>
      <c r="M414" s="10"/>
    </row>
    <row r="415" customFormat="false" ht="15" hidden="false" customHeight="false" outlineLevel="0" collapsed="false">
      <c r="A415" s="9"/>
      <c r="B415" s="10"/>
      <c r="C415" s="11" t="str">
        <f aca="false">IF(B415="","",IFERROR(INDEX('Câu hỏi'!$D$2:$D$21,MATCH(B415,'Câu hỏi'!$A$2:$A$21,0)),"Mã không có"))</f>
        <v/>
      </c>
      <c r="D415" s="10"/>
      <c r="E415" s="10"/>
      <c r="F415" s="10"/>
      <c r="G415" s="10"/>
      <c r="H415" s="10"/>
      <c r="I415" s="10"/>
      <c r="J415" s="10"/>
      <c r="K415" s="10"/>
      <c r="L415" s="10"/>
      <c r="M415" s="10"/>
    </row>
    <row r="416" customFormat="false" ht="15" hidden="false" customHeight="false" outlineLevel="0" collapsed="false">
      <c r="A416" s="9"/>
      <c r="B416" s="10"/>
      <c r="C416" s="11" t="str">
        <f aca="false">IF(B416="","",IFERROR(INDEX('Câu hỏi'!$D$2:$D$21,MATCH(B416,'Câu hỏi'!$A$2:$A$21,0)),"Mã không có"))</f>
        <v/>
      </c>
      <c r="D416" s="10"/>
      <c r="E416" s="10"/>
      <c r="F416" s="10"/>
      <c r="G416" s="10"/>
      <c r="H416" s="10"/>
      <c r="I416" s="10"/>
      <c r="J416" s="10"/>
      <c r="K416" s="10"/>
      <c r="L416" s="10"/>
      <c r="M416" s="10"/>
    </row>
    <row r="417" customFormat="false" ht="15" hidden="false" customHeight="false" outlineLevel="0" collapsed="false">
      <c r="A417" s="9"/>
      <c r="B417" s="10"/>
      <c r="C417" s="11" t="str">
        <f aca="false">IF(B417="","",IFERROR(INDEX('Câu hỏi'!$D$2:$D$21,MATCH(B417,'Câu hỏi'!$A$2:$A$21,0)),"Mã không có"))</f>
        <v/>
      </c>
      <c r="D417" s="10"/>
      <c r="E417" s="10"/>
      <c r="F417" s="10"/>
      <c r="G417" s="10"/>
      <c r="H417" s="10"/>
      <c r="I417" s="10"/>
      <c r="J417" s="10"/>
      <c r="K417" s="10"/>
      <c r="L417" s="10"/>
      <c r="M417" s="10"/>
    </row>
    <row r="418" customFormat="false" ht="15" hidden="false" customHeight="false" outlineLevel="0" collapsed="false">
      <c r="A418" s="9"/>
      <c r="B418" s="10"/>
      <c r="C418" s="11" t="str">
        <f aca="false">IF(B418="","",IFERROR(INDEX('Câu hỏi'!$D$2:$D$21,MATCH(B418,'Câu hỏi'!$A$2:$A$21,0)),"Mã không có"))</f>
        <v/>
      </c>
      <c r="D418" s="10"/>
      <c r="E418" s="10"/>
      <c r="F418" s="10"/>
      <c r="G418" s="10"/>
      <c r="H418" s="10"/>
      <c r="I418" s="10"/>
      <c r="J418" s="10"/>
      <c r="K418" s="10"/>
      <c r="L418" s="10"/>
      <c r="M418" s="10"/>
    </row>
    <row r="419" customFormat="false" ht="15" hidden="false" customHeight="false" outlineLevel="0" collapsed="false">
      <c r="A419" s="9"/>
      <c r="B419" s="10"/>
      <c r="C419" s="11" t="str">
        <f aca="false">IF(B419="","",IFERROR(INDEX('Câu hỏi'!$D$2:$D$21,MATCH(B419,'Câu hỏi'!$A$2:$A$21,0)),"Mã không có"))</f>
        <v/>
      </c>
      <c r="D419" s="10"/>
      <c r="E419" s="10"/>
      <c r="F419" s="10"/>
      <c r="G419" s="10"/>
      <c r="H419" s="10"/>
      <c r="I419" s="10"/>
      <c r="J419" s="10"/>
      <c r="K419" s="10"/>
      <c r="L419" s="10"/>
      <c r="M419" s="10"/>
    </row>
    <row r="420" customFormat="false" ht="15" hidden="false" customHeight="false" outlineLevel="0" collapsed="false">
      <c r="A420" s="9"/>
      <c r="B420" s="10"/>
      <c r="C420" s="11" t="str">
        <f aca="false">IF(B420="","",IFERROR(INDEX('Câu hỏi'!$D$2:$D$21,MATCH(B420,'Câu hỏi'!$A$2:$A$21,0)),"Mã không có"))</f>
        <v/>
      </c>
      <c r="D420" s="10"/>
      <c r="E420" s="10"/>
      <c r="F420" s="10"/>
      <c r="G420" s="10"/>
      <c r="H420" s="10"/>
      <c r="I420" s="10"/>
      <c r="J420" s="10"/>
      <c r="K420" s="10"/>
      <c r="L420" s="10"/>
      <c r="M420" s="10"/>
    </row>
    <row r="421" customFormat="false" ht="15" hidden="false" customHeight="false" outlineLevel="0" collapsed="false">
      <c r="A421" s="9"/>
      <c r="B421" s="10"/>
      <c r="C421" s="11" t="str">
        <f aca="false">IF(B421="","",IFERROR(INDEX('Câu hỏi'!$D$2:$D$21,MATCH(B421,'Câu hỏi'!$A$2:$A$21,0)),"Mã không có"))</f>
        <v/>
      </c>
      <c r="D421" s="10"/>
      <c r="E421" s="10"/>
      <c r="F421" s="10"/>
      <c r="G421" s="10"/>
      <c r="H421" s="10"/>
      <c r="I421" s="10"/>
      <c r="J421" s="10"/>
      <c r="K421" s="10"/>
      <c r="L421" s="10"/>
      <c r="M421" s="10"/>
    </row>
    <row r="422" customFormat="false" ht="15" hidden="false" customHeight="false" outlineLevel="0" collapsed="false">
      <c r="A422" s="9"/>
      <c r="B422" s="10"/>
      <c r="C422" s="11" t="str">
        <f aca="false">IF(B422="","",IFERROR(INDEX('Câu hỏi'!$D$2:$D$21,MATCH(B422,'Câu hỏi'!$A$2:$A$21,0)),"Mã không có"))</f>
        <v/>
      </c>
      <c r="D422" s="10"/>
      <c r="E422" s="10"/>
      <c r="F422" s="10"/>
      <c r="G422" s="10"/>
      <c r="H422" s="10"/>
      <c r="I422" s="10"/>
      <c r="J422" s="10"/>
      <c r="K422" s="10"/>
      <c r="L422" s="10"/>
      <c r="M422" s="10"/>
    </row>
    <row r="423" customFormat="false" ht="15" hidden="false" customHeight="false" outlineLevel="0" collapsed="false">
      <c r="A423" s="9"/>
      <c r="B423" s="10"/>
      <c r="C423" s="11" t="str">
        <f aca="false">IF(B423="","",IFERROR(INDEX('Câu hỏi'!$D$2:$D$21,MATCH(B423,'Câu hỏi'!$A$2:$A$21,0)),"Mã không có"))</f>
        <v/>
      </c>
      <c r="D423" s="10"/>
      <c r="E423" s="10"/>
      <c r="F423" s="10"/>
      <c r="G423" s="10"/>
      <c r="H423" s="10"/>
      <c r="I423" s="10"/>
      <c r="J423" s="10"/>
      <c r="K423" s="10"/>
      <c r="L423" s="10"/>
      <c r="M423" s="10"/>
    </row>
    <row r="424" customFormat="false" ht="15" hidden="false" customHeight="false" outlineLevel="0" collapsed="false">
      <c r="A424" s="9"/>
      <c r="B424" s="10"/>
      <c r="C424" s="11" t="str">
        <f aca="false">IF(B424="","",IFERROR(INDEX('Câu hỏi'!$D$2:$D$21,MATCH(B424,'Câu hỏi'!$A$2:$A$21,0)),"Mã không có"))</f>
        <v/>
      </c>
      <c r="D424" s="10"/>
      <c r="E424" s="10"/>
      <c r="F424" s="10"/>
      <c r="G424" s="10"/>
      <c r="H424" s="10"/>
      <c r="I424" s="10"/>
      <c r="J424" s="10"/>
      <c r="K424" s="10"/>
      <c r="L424" s="10"/>
      <c r="M424" s="10"/>
    </row>
    <row r="425" customFormat="false" ht="15" hidden="false" customHeight="false" outlineLevel="0" collapsed="false">
      <c r="A425" s="9"/>
      <c r="B425" s="10"/>
      <c r="C425" s="11" t="str">
        <f aca="false">IF(B425="","",IFERROR(INDEX('Câu hỏi'!$D$2:$D$21,MATCH(B425,'Câu hỏi'!$A$2:$A$21,0)),"Mã không có"))</f>
        <v/>
      </c>
      <c r="D425" s="10"/>
      <c r="E425" s="10"/>
      <c r="F425" s="10"/>
      <c r="G425" s="10"/>
      <c r="H425" s="10"/>
      <c r="I425" s="10"/>
      <c r="J425" s="10"/>
      <c r="K425" s="10"/>
      <c r="L425" s="10"/>
      <c r="M425" s="10"/>
    </row>
    <row r="426" customFormat="false" ht="15" hidden="false" customHeight="false" outlineLevel="0" collapsed="false">
      <c r="A426" s="9"/>
      <c r="B426" s="10"/>
      <c r="C426" s="11" t="str">
        <f aca="false">IF(B426="","",IFERROR(INDEX('Câu hỏi'!$D$2:$D$21,MATCH(B426,'Câu hỏi'!$A$2:$A$21,0)),"Mã không có"))</f>
        <v/>
      </c>
      <c r="D426" s="10"/>
      <c r="E426" s="10"/>
      <c r="F426" s="10"/>
      <c r="G426" s="10"/>
      <c r="H426" s="10"/>
      <c r="I426" s="10"/>
      <c r="J426" s="10"/>
      <c r="K426" s="10"/>
      <c r="L426" s="10"/>
      <c r="M426" s="10"/>
    </row>
    <row r="427" customFormat="false" ht="15" hidden="false" customHeight="false" outlineLevel="0" collapsed="false">
      <c r="A427" s="9"/>
      <c r="B427" s="10"/>
      <c r="C427" s="11" t="str">
        <f aca="false">IF(B427="","",IFERROR(INDEX('Câu hỏi'!$D$2:$D$21,MATCH(B427,'Câu hỏi'!$A$2:$A$21,0)),"Mã không có"))</f>
        <v/>
      </c>
      <c r="D427" s="10"/>
      <c r="E427" s="10"/>
      <c r="F427" s="10"/>
      <c r="G427" s="10"/>
      <c r="H427" s="10"/>
      <c r="I427" s="10"/>
      <c r="J427" s="10"/>
      <c r="K427" s="10"/>
      <c r="L427" s="10"/>
      <c r="M427" s="10"/>
    </row>
    <row r="428" customFormat="false" ht="15" hidden="false" customHeight="false" outlineLevel="0" collapsed="false">
      <c r="A428" s="9"/>
      <c r="B428" s="10"/>
      <c r="C428" s="11" t="str">
        <f aca="false">IF(B428="","",IFERROR(INDEX('Câu hỏi'!$D$2:$D$21,MATCH(B428,'Câu hỏi'!$A$2:$A$21,0)),"Mã không có"))</f>
        <v/>
      </c>
      <c r="D428" s="10"/>
      <c r="E428" s="10"/>
      <c r="F428" s="10"/>
      <c r="G428" s="10"/>
      <c r="H428" s="10"/>
      <c r="I428" s="10"/>
      <c r="J428" s="10"/>
      <c r="K428" s="10"/>
      <c r="L428" s="10"/>
      <c r="M428" s="10"/>
    </row>
    <row r="429" customFormat="false" ht="15" hidden="false" customHeight="false" outlineLevel="0" collapsed="false">
      <c r="A429" s="9"/>
      <c r="B429" s="10"/>
      <c r="C429" s="11" t="str">
        <f aca="false">IF(B429="","",IFERROR(INDEX('Câu hỏi'!$D$2:$D$21,MATCH(B429,'Câu hỏi'!$A$2:$A$21,0)),"Mã không có"))</f>
        <v/>
      </c>
      <c r="D429" s="10"/>
      <c r="E429" s="10"/>
      <c r="F429" s="10"/>
      <c r="G429" s="10"/>
      <c r="H429" s="10"/>
      <c r="I429" s="10"/>
      <c r="J429" s="10"/>
      <c r="K429" s="10"/>
      <c r="L429" s="10"/>
      <c r="M429" s="10"/>
    </row>
    <row r="430" customFormat="false" ht="15" hidden="false" customHeight="false" outlineLevel="0" collapsed="false">
      <c r="A430" s="9"/>
      <c r="B430" s="10"/>
      <c r="C430" s="11" t="str">
        <f aca="false">IF(B430="","",IFERROR(INDEX('Câu hỏi'!$D$2:$D$21,MATCH(B430,'Câu hỏi'!$A$2:$A$21,0)),"Mã không có"))</f>
        <v/>
      </c>
      <c r="D430" s="10"/>
      <c r="E430" s="10"/>
      <c r="F430" s="10"/>
      <c r="G430" s="10"/>
      <c r="H430" s="10"/>
      <c r="I430" s="10"/>
      <c r="J430" s="10"/>
      <c r="K430" s="10"/>
      <c r="L430" s="10"/>
      <c r="M430" s="10"/>
    </row>
    <row r="431" customFormat="false" ht="15" hidden="false" customHeight="false" outlineLevel="0" collapsed="false">
      <c r="A431" s="9"/>
      <c r="B431" s="10"/>
      <c r="C431" s="11" t="str">
        <f aca="false">IF(B431="","",IFERROR(INDEX('Câu hỏi'!$D$2:$D$21,MATCH(B431,'Câu hỏi'!$A$2:$A$21,0)),"Mã không có"))</f>
        <v/>
      </c>
      <c r="D431" s="10"/>
      <c r="E431" s="10"/>
      <c r="F431" s="10"/>
      <c r="G431" s="10"/>
      <c r="H431" s="10"/>
      <c r="I431" s="10"/>
      <c r="J431" s="10"/>
      <c r="K431" s="10"/>
      <c r="L431" s="10"/>
      <c r="M431" s="10"/>
    </row>
    <row r="432" customFormat="false" ht="15" hidden="false" customHeight="false" outlineLevel="0" collapsed="false">
      <c r="A432" s="9"/>
      <c r="B432" s="10"/>
      <c r="C432" s="11" t="str">
        <f aca="false">IF(B432="","",IFERROR(INDEX('Câu hỏi'!$D$2:$D$21,MATCH(B432,'Câu hỏi'!$A$2:$A$21,0)),"Mã không có"))</f>
        <v/>
      </c>
      <c r="D432" s="10"/>
      <c r="E432" s="10"/>
      <c r="F432" s="10"/>
      <c r="G432" s="10"/>
      <c r="H432" s="10"/>
      <c r="I432" s="10"/>
      <c r="J432" s="10"/>
      <c r="K432" s="10"/>
      <c r="L432" s="10"/>
      <c r="M432" s="10"/>
    </row>
    <row r="433" customFormat="false" ht="15" hidden="false" customHeight="false" outlineLevel="0" collapsed="false">
      <c r="A433" s="9"/>
      <c r="B433" s="10"/>
      <c r="C433" s="11" t="str">
        <f aca="false">IF(B433="","",IFERROR(INDEX('Câu hỏi'!$D$2:$D$21,MATCH(B433,'Câu hỏi'!$A$2:$A$21,0)),"Mã không có"))</f>
        <v/>
      </c>
      <c r="D433" s="10"/>
      <c r="E433" s="10"/>
      <c r="F433" s="10"/>
      <c r="G433" s="10"/>
      <c r="H433" s="10"/>
      <c r="I433" s="10"/>
      <c r="J433" s="10"/>
      <c r="K433" s="10"/>
      <c r="L433" s="10"/>
      <c r="M433" s="10"/>
    </row>
    <row r="434" customFormat="false" ht="15" hidden="false" customHeight="false" outlineLevel="0" collapsed="false">
      <c r="A434" s="9"/>
      <c r="B434" s="10"/>
      <c r="C434" s="11" t="str">
        <f aca="false">IF(B434="","",IFERROR(INDEX('Câu hỏi'!$D$2:$D$21,MATCH(B434,'Câu hỏi'!$A$2:$A$21,0)),"Mã không có"))</f>
        <v/>
      </c>
      <c r="D434" s="10"/>
      <c r="E434" s="10"/>
      <c r="F434" s="10"/>
      <c r="G434" s="10"/>
      <c r="H434" s="10"/>
      <c r="I434" s="10"/>
      <c r="J434" s="10"/>
      <c r="K434" s="10"/>
      <c r="L434" s="10"/>
      <c r="M434" s="10"/>
    </row>
    <row r="435" customFormat="false" ht="15" hidden="false" customHeight="false" outlineLevel="0" collapsed="false">
      <c r="A435" s="9"/>
      <c r="B435" s="10"/>
      <c r="C435" s="11" t="str">
        <f aca="false">IF(B435="","",IFERROR(INDEX('Câu hỏi'!$D$2:$D$21,MATCH(B435,'Câu hỏi'!$A$2:$A$21,0)),"Mã không có"))</f>
        <v/>
      </c>
      <c r="D435" s="10"/>
      <c r="E435" s="10"/>
      <c r="F435" s="10"/>
      <c r="G435" s="10"/>
      <c r="H435" s="10"/>
      <c r="I435" s="10"/>
      <c r="J435" s="10"/>
      <c r="K435" s="10"/>
      <c r="L435" s="10"/>
      <c r="M435" s="10"/>
    </row>
    <row r="436" customFormat="false" ht="15" hidden="false" customHeight="false" outlineLevel="0" collapsed="false">
      <c r="A436" s="9"/>
      <c r="B436" s="10"/>
      <c r="C436" s="11" t="str">
        <f aca="false">IF(B436="","",IFERROR(INDEX('Câu hỏi'!$D$2:$D$21,MATCH(B436,'Câu hỏi'!$A$2:$A$21,0)),"Mã không có"))</f>
        <v/>
      </c>
      <c r="D436" s="10"/>
      <c r="E436" s="10"/>
      <c r="F436" s="10"/>
      <c r="G436" s="10"/>
      <c r="H436" s="10"/>
      <c r="I436" s="10"/>
      <c r="J436" s="10"/>
      <c r="K436" s="10"/>
      <c r="L436" s="10"/>
      <c r="M436" s="10"/>
    </row>
    <row r="437" customFormat="false" ht="15" hidden="false" customHeight="false" outlineLevel="0" collapsed="false">
      <c r="A437" s="9"/>
      <c r="B437" s="10"/>
      <c r="C437" s="11" t="str">
        <f aca="false">IF(B437="","",IFERROR(INDEX('Câu hỏi'!$D$2:$D$21,MATCH(B437,'Câu hỏi'!$A$2:$A$21,0)),"Mã không có"))</f>
        <v/>
      </c>
      <c r="D437" s="10"/>
      <c r="E437" s="10"/>
      <c r="F437" s="10"/>
      <c r="G437" s="10"/>
      <c r="H437" s="10"/>
      <c r="I437" s="10"/>
      <c r="J437" s="10"/>
      <c r="K437" s="10"/>
      <c r="L437" s="10"/>
      <c r="M437" s="10"/>
    </row>
    <row r="438" customFormat="false" ht="15" hidden="false" customHeight="false" outlineLevel="0" collapsed="false">
      <c r="A438" s="9"/>
      <c r="B438" s="10"/>
      <c r="C438" s="11" t="str">
        <f aca="false">IF(B438="","",IFERROR(INDEX('Câu hỏi'!$D$2:$D$21,MATCH(B438,'Câu hỏi'!$A$2:$A$21,0)),"Mã không có"))</f>
        <v/>
      </c>
      <c r="D438" s="10"/>
      <c r="E438" s="10"/>
      <c r="F438" s="10"/>
      <c r="G438" s="10"/>
      <c r="H438" s="10"/>
      <c r="I438" s="10"/>
      <c r="J438" s="10"/>
      <c r="K438" s="10"/>
      <c r="L438" s="10"/>
      <c r="M438" s="10"/>
    </row>
    <row r="439" customFormat="false" ht="15" hidden="false" customHeight="false" outlineLevel="0" collapsed="false">
      <c r="A439" s="9"/>
      <c r="B439" s="10"/>
      <c r="C439" s="11" t="str">
        <f aca="false">IF(B439="","",IFERROR(INDEX('Câu hỏi'!$D$2:$D$21,MATCH(B439,'Câu hỏi'!$A$2:$A$21,0)),"Mã không có"))</f>
        <v/>
      </c>
      <c r="D439" s="10"/>
      <c r="E439" s="10"/>
      <c r="F439" s="10"/>
      <c r="G439" s="10"/>
      <c r="H439" s="10"/>
      <c r="I439" s="10"/>
      <c r="J439" s="10"/>
      <c r="K439" s="10"/>
      <c r="L439" s="10"/>
      <c r="M439" s="10"/>
    </row>
    <row r="440" customFormat="false" ht="15" hidden="false" customHeight="false" outlineLevel="0" collapsed="false">
      <c r="A440" s="9"/>
      <c r="B440" s="10"/>
      <c r="C440" s="11" t="str">
        <f aca="false">IF(B440="","",IFERROR(INDEX('Câu hỏi'!$D$2:$D$21,MATCH(B440,'Câu hỏi'!$A$2:$A$21,0)),"Mã không có"))</f>
        <v/>
      </c>
      <c r="D440" s="10"/>
      <c r="E440" s="10"/>
      <c r="F440" s="10"/>
      <c r="G440" s="10"/>
      <c r="H440" s="10"/>
      <c r="I440" s="10"/>
      <c r="J440" s="10"/>
      <c r="K440" s="10"/>
      <c r="L440" s="10"/>
      <c r="M440" s="10"/>
    </row>
    <row r="441" customFormat="false" ht="15" hidden="false" customHeight="false" outlineLevel="0" collapsed="false">
      <c r="A441" s="9"/>
      <c r="B441" s="10"/>
      <c r="C441" s="11" t="str">
        <f aca="false">IF(B441="","",IFERROR(INDEX('Câu hỏi'!$D$2:$D$21,MATCH(B441,'Câu hỏi'!$A$2:$A$21,0)),"Mã không có"))</f>
        <v/>
      </c>
      <c r="D441" s="10"/>
      <c r="E441" s="10"/>
      <c r="F441" s="10"/>
      <c r="G441" s="10"/>
      <c r="H441" s="10"/>
      <c r="I441" s="10"/>
      <c r="J441" s="10"/>
      <c r="K441" s="10"/>
      <c r="L441" s="10"/>
      <c r="M441" s="10"/>
    </row>
    <row r="442" customFormat="false" ht="15" hidden="false" customHeight="false" outlineLevel="0" collapsed="false">
      <c r="A442" s="9"/>
      <c r="B442" s="10"/>
      <c r="C442" s="11" t="str">
        <f aca="false">IF(B442="","",IFERROR(INDEX('Câu hỏi'!$D$2:$D$21,MATCH(B442,'Câu hỏi'!$A$2:$A$21,0)),"Mã không có"))</f>
        <v/>
      </c>
      <c r="D442" s="10"/>
      <c r="E442" s="10"/>
      <c r="F442" s="10"/>
      <c r="G442" s="10"/>
      <c r="H442" s="10"/>
      <c r="I442" s="10"/>
      <c r="J442" s="10"/>
      <c r="K442" s="10"/>
      <c r="L442" s="10"/>
      <c r="M442" s="10"/>
    </row>
    <row r="443" customFormat="false" ht="15" hidden="false" customHeight="false" outlineLevel="0" collapsed="false">
      <c r="A443" s="9"/>
      <c r="B443" s="10"/>
      <c r="C443" s="11" t="str">
        <f aca="false">IF(B443="","",IFERROR(INDEX('Câu hỏi'!$D$2:$D$21,MATCH(B443,'Câu hỏi'!$A$2:$A$21,0)),"Mã không có"))</f>
        <v/>
      </c>
      <c r="D443" s="10"/>
      <c r="E443" s="10"/>
      <c r="F443" s="10"/>
      <c r="G443" s="10"/>
      <c r="H443" s="10"/>
      <c r="I443" s="10"/>
      <c r="J443" s="10"/>
      <c r="K443" s="10"/>
      <c r="L443" s="10"/>
      <c r="M443" s="10"/>
    </row>
    <row r="444" customFormat="false" ht="15" hidden="false" customHeight="false" outlineLevel="0" collapsed="false">
      <c r="A444" s="9"/>
      <c r="B444" s="10"/>
      <c r="C444" s="11" t="str">
        <f aca="false">IF(B444="","",IFERROR(INDEX('Câu hỏi'!$D$2:$D$21,MATCH(B444,'Câu hỏi'!$A$2:$A$21,0)),"Mã không có"))</f>
        <v/>
      </c>
      <c r="D444" s="10"/>
      <c r="E444" s="10"/>
      <c r="F444" s="10"/>
      <c r="G444" s="10"/>
      <c r="H444" s="10"/>
      <c r="I444" s="10"/>
      <c r="J444" s="10"/>
      <c r="K444" s="10"/>
      <c r="L444" s="10"/>
      <c r="M444" s="10"/>
    </row>
    <row r="445" customFormat="false" ht="15" hidden="false" customHeight="false" outlineLevel="0" collapsed="false">
      <c r="A445" s="9"/>
      <c r="B445" s="10"/>
      <c r="C445" s="11" t="str">
        <f aca="false">IF(B445="","",IFERROR(INDEX('Câu hỏi'!$D$2:$D$21,MATCH(B445,'Câu hỏi'!$A$2:$A$21,0)),"Mã không có"))</f>
        <v/>
      </c>
      <c r="D445" s="10"/>
      <c r="E445" s="10"/>
      <c r="F445" s="10"/>
      <c r="G445" s="10"/>
      <c r="H445" s="10"/>
      <c r="I445" s="10"/>
      <c r="J445" s="10"/>
      <c r="K445" s="10"/>
      <c r="L445" s="10"/>
      <c r="M445" s="10"/>
    </row>
    <row r="446" customFormat="false" ht="15" hidden="false" customHeight="false" outlineLevel="0" collapsed="false">
      <c r="A446" s="9"/>
      <c r="B446" s="10"/>
      <c r="C446" s="11" t="str">
        <f aca="false">IF(B446="","",IFERROR(INDEX('Câu hỏi'!$D$2:$D$21,MATCH(B446,'Câu hỏi'!$A$2:$A$21,0)),"Mã không có"))</f>
        <v/>
      </c>
      <c r="D446" s="10"/>
      <c r="E446" s="10"/>
      <c r="F446" s="10"/>
      <c r="G446" s="10"/>
      <c r="H446" s="10"/>
      <c r="I446" s="10"/>
      <c r="J446" s="10"/>
      <c r="K446" s="10"/>
      <c r="L446" s="10"/>
      <c r="M446" s="10"/>
    </row>
    <row r="447" customFormat="false" ht="15" hidden="false" customHeight="false" outlineLevel="0" collapsed="false">
      <c r="A447" s="9"/>
      <c r="B447" s="10"/>
      <c r="C447" s="11" t="str">
        <f aca="false">IF(B447="","",IFERROR(INDEX('Câu hỏi'!$D$2:$D$21,MATCH(B447,'Câu hỏi'!$A$2:$A$21,0)),"Mã không có"))</f>
        <v/>
      </c>
      <c r="D447" s="10"/>
      <c r="E447" s="10"/>
      <c r="F447" s="10"/>
      <c r="G447" s="10"/>
      <c r="H447" s="10"/>
      <c r="I447" s="10"/>
      <c r="J447" s="10"/>
      <c r="K447" s="10"/>
      <c r="L447" s="10"/>
      <c r="M447" s="10"/>
    </row>
    <row r="448" customFormat="false" ht="15" hidden="false" customHeight="false" outlineLevel="0" collapsed="false">
      <c r="A448" s="9"/>
      <c r="B448" s="10"/>
      <c r="C448" s="11" t="str">
        <f aca="false">IF(B448="","",IFERROR(INDEX('Câu hỏi'!$D$2:$D$21,MATCH(B448,'Câu hỏi'!$A$2:$A$21,0)),"Mã không có"))</f>
        <v/>
      </c>
      <c r="D448" s="10"/>
      <c r="E448" s="10"/>
      <c r="F448" s="10"/>
      <c r="G448" s="10"/>
      <c r="H448" s="10"/>
      <c r="I448" s="10"/>
      <c r="J448" s="10"/>
      <c r="K448" s="10"/>
      <c r="L448" s="10"/>
      <c r="M448" s="10"/>
    </row>
    <row r="449" customFormat="false" ht="15" hidden="false" customHeight="false" outlineLevel="0" collapsed="false">
      <c r="A449" s="9"/>
      <c r="B449" s="10"/>
      <c r="C449" s="11" t="str">
        <f aca="false">IF(B449="","",IFERROR(INDEX('Câu hỏi'!$D$2:$D$21,MATCH(B449,'Câu hỏi'!$A$2:$A$21,0)),"Mã không có"))</f>
        <v/>
      </c>
      <c r="D449" s="10"/>
      <c r="E449" s="10"/>
      <c r="F449" s="10"/>
      <c r="G449" s="10"/>
      <c r="H449" s="10"/>
      <c r="I449" s="10"/>
      <c r="J449" s="10"/>
      <c r="K449" s="10"/>
      <c r="L449" s="10"/>
      <c r="M449" s="10"/>
    </row>
    <row r="450" customFormat="false" ht="15" hidden="false" customHeight="false" outlineLevel="0" collapsed="false">
      <c r="A450" s="9"/>
      <c r="B450" s="10"/>
      <c r="C450" s="11" t="str">
        <f aca="false">IF(B450="","",IFERROR(INDEX('Câu hỏi'!$D$2:$D$21,MATCH(B450,'Câu hỏi'!$A$2:$A$21,0)),"Mã không có"))</f>
        <v/>
      </c>
      <c r="D450" s="10"/>
      <c r="E450" s="10"/>
      <c r="F450" s="10"/>
      <c r="G450" s="10"/>
      <c r="H450" s="10"/>
      <c r="I450" s="10"/>
      <c r="J450" s="10"/>
      <c r="K450" s="10"/>
      <c r="L450" s="10"/>
      <c r="M450" s="10"/>
    </row>
    <row r="451" customFormat="false" ht="15" hidden="false" customHeight="false" outlineLevel="0" collapsed="false">
      <c r="A451" s="9"/>
      <c r="B451" s="10"/>
      <c r="C451" s="11" t="str">
        <f aca="false">IF(B451="","",IFERROR(INDEX('Câu hỏi'!$D$2:$D$21,MATCH(B451,'Câu hỏi'!$A$2:$A$21,0)),"Mã không có"))</f>
        <v/>
      </c>
      <c r="D451" s="10"/>
      <c r="E451" s="10"/>
      <c r="F451" s="10"/>
      <c r="G451" s="10"/>
      <c r="H451" s="10"/>
      <c r="I451" s="10"/>
      <c r="J451" s="10"/>
      <c r="K451" s="10"/>
      <c r="L451" s="10"/>
      <c r="M451" s="10"/>
    </row>
    <row r="452" customFormat="false" ht="15" hidden="false" customHeight="false" outlineLevel="0" collapsed="false">
      <c r="A452" s="9"/>
      <c r="B452" s="10"/>
      <c r="C452" s="11" t="str">
        <f aca="false">IF(B452="","",IFERROR(INDEX('Câu hỏi'!$D$2:$D$21,MATCH(B452,'Câu hỏi'!$A$2:$A$21,0)),"Mã không có"))</f>
        <v/>
      </c>
      <c r="D452" s="10"/>
      <c r="E452" s="10"/>
      <c r="F452" s="10"/>
      <c r="G452" s="10"/>
      <c r="H452" s="10"/>
      <c r="I452" s="10"/>
      <c r="J452" s="10"/>
      <c r="K452" s="10"/>
      <c r="L452" s="10"/>
      <c r="M452" s="10"/>
    </row>
    <row r="453" customFormat="false" ht="15" hidden="false" customHeight="false" outlineLevel="0" collapsed="false">
      <c r="A453" s="9"/>
      <c r="B453" s="10"/>
      <c r="C453" s="11" t="str">
        <f aca="false">IF(B453="","",IFERROR(INDEX('Câu hỏi'!$D$2:$D$21,MATCH(B453,'Câu hỏi'!$A$2:$A$21,0)),"Mã không có"))</f>
        <v/>
      </c>
      <c r="D453" s="10"/>
      <c r="E453" s="10"/>
      <c r="F453" s="10"/>
      <c r="G453" s="10"/>
      <c r="H453" s="10"/>
      <c r="I453" s="10"/>
      <c r="J453" s="10"/>
      <c r="K453" s="10"/>
      <c r="L453" s="10"/>
      <c r="M453" s="10"/>
    </row>
    <row r="454" customFormat="false" ht="15" hidden="false" customHeight="false" outlineLevel="0" collapsed="false">
      <c r="A454" s="9"/>
      <c r="B454" s="10"/>
      <c r="C454" s="11" t="str">
        <f aca="false">IF(B454="","",IFERROR(INDEX('Câu hỏi'!$D$2:$D$21,MATCH(B454,'Câu hỏi'!$A$2:$A$21,0)),"Mã không có"))</f>
        <v/>
      </c>
      <c r="D454" s="10"/>
      <c r="E454" s="10"/>
      <c r="F454" s="10"/>
      <c r="G454" s="10"/>
      <c r="H454" s="10"/>
      <c r="I454" s="10"/>
      <c r="J454" s="10"/>
      <c r="K454" s="10"/>
      <c r="L454" s="10"/>
      <c r="M454" s="10"/>
    </row>
    <row r="455" customFormat="false" ht="15" hidden="false" customHeight="false" outlineLevel="0" collapsed="false">
      <c r="A455" s="9"/>
      <c r="B455" s="10"/>
      <c r="C455" s="11" t="str">
        <f aca="false">IF(B455="","",IFERROR(INDEX('Câu hỏi'!$D$2:$D$21,MATCH(B455,'Câu hỏi'!$A$2:$A$21,0)),"Mã không có"))</f>
        <v/>
      </c>
      <c r="D455" s="10"/>
      <c r="E455" s="10"/>
      <c r="F455" s="10"/>
      <c r="G455" s="10"/>
      <c r="H455" s="10"/>
      <c r="I455" s="10"/>
      <c r="J455" s="10"/>
      <c r="K455" s="10"/>
      <c r="L455" s="10"/>
      <c r="M455" s="10"/>
    </row>
    <row r="456" customFormat="false" ht="15" hidden="false" customHeight="false" outlineLevel="0" collapsed="false">
      <c r="A456" s="9"/>
      <c r="B456" s="10"/>
      <c r="C456" s="11" t="str">
        <f aca="false">IF(B456="","",IFERROR(INDEX('Câu hỏi'!$D$2:$D$21,MATCH(B456,'Câu hỏi'!$A$2:$A$21,0)),"Mã không có"))</f>
        <v/>
      </c>
      <c r="D456" s="10"/>
      <c r="E456" s="10"/>
      <c r="F456" s="10"/>
      <c r="G456" s="10"/>
      <c r="H456" s="10"/>
      <c r="I456" s="10"/>
      <c r="J456" s="10"/>
      <c r="K456" s="10"/>
      <c r="L456" s="10"/>
      <c r="M456" s="10"/>
    </row>
    <row r="457" customFormat="false" ht="15" hidden="false" customHeight="false" outlineLevel="0" collapsed="false">
      <c r="A457" s="9"/>
      <c r="B457" s="10"/>
      <c r="C457" s="11" t="str">
        <f aca="false">IF(B457="","",IFERROR(INDEX('Câu hỏi'!$D$2:$D$21,MATCH(B457,'Câu hỏi'!$A$2:$A$21,0)),"Mã không có"))</f>
        <v/>
      </c>
      <c r="D457" s="10"/>
      <c r="E457" s="10"/>
      <c r="F457" s="10"/>
      <c r="G457" s="10"/>
      <c r="H457" s="10"/>
      <c r="I457" s="10"/>
      <c r="J457" s="10"/>
      <c r="K457" s="10"/>
      <c r="L457" s="10"/>
      <c r="M457" s="10"/>
    </row>
    <row r="458" customFormat="false" ht="15" hidden="false" customHeight="false" outlineLevel="0" collapsed="false">
      <c r="A458" s="9"/>
      <c r="B458" s="10"/>
      <c r="C458" s="11" t="str">
        <f aca="false">IF(B458="","",IFERROR(INDEX('Câu hỏi'!$D$2:$D$21,MATCH(B458,'Câu hỏi'!$A$2:$A$21,0)),"Mã không có"))</f>
        <v/>
      </c>
      <c r="D458" s="10"/>
      <c r="E458" s="10"/>
      <c r="F458" s="10"/>
      <c r="G458" s="10"/>
      <c r="H458" s="10"/>
      <c r="I458" s="10"/>
      <c r="J458" s="10"/>
      <c r="K458" s="10"/>
      <c r="L458" s="10"/>
      <c r="M458" s="10"/>
    </row>
    <row r="459" customFormat="false" ht="15" hidden="false" customHeight="false" outlineLevel="0" collapsed="false">
      <c r="A459" s="9"/>
      <c r="B459" s="10"/>
      <c r="C459" s="11" t="str">
        <f aca="false">IF(B459="","",IFERROR(INDEX('Câu hỏi'!$D$2:$D$21,MATCH(B459,'Câu hỏi'!$A$2:$A$21,0)),"Mã không có"))</f>
        <v/>
      </c>
      <c r="D459" s="10"/>
      <c r="E459" s="10"/>
      <c r="F459" s="10"/>
      <c r="G459" s="10"/>
      <c r="H459" s="10"/>
      <c r="I459" s="10"/>
      <c r="J459" s="10"/>
      <c r="K459" s="10"/>
      <c r="L459" s="10"/>
      <c r="M459" s="10"/>
    </row>
    <row r="460" customFormat="false" ht="15" hidden="false" customHeight="false" outlineLevel="0" collapsed="false">
      <c r="A460" s="9"/>
      <c r="B460" s="10"/>
      <c r="C460" s="11" t="str">
        <f aca="false">IF(B460="","",IFERROR(INDEX('Câu hỏi'!$D$2:$D$21,MATCH(B460,'Câu hỏi'!$A$2:$A$21,0)),"Mã không có"))</f>
        <v/>
      </c>
      <c r="D460" s="10"/>
      <c r="E460" s="10"/>
      <c r="F460" s="10"/>
      <c r="G460" s="10"/>
      <c r="H460" s="10"/>
      <c r="I460" s="10"/>
      <c r="J460" s="10"/>
      <c r="K460" s="10"/>
      <c r="L460" s="10"/>
      <c r="M460" s="10"/>
    </row>
    <row r="461" customFormat="false" ht="15" hidden="false" customHeight="false" outlineLevel="0" collapsed="false">
      <c r="A461" s="9"/>
      <c r="B461" s="10"/>
      <c r="C461" s="11" t="str">
        <f aca="false">IF(B461="","",IFERROR(INDEX('Câu hỏi'!$D$2:$D$21,MATCH(B461,'Câu hỏi'!$A$2:$A$21,0)),"Mã không có"))</f>
        <v/>
      </c>
      <c r="D461" s="10"/>
      <c r="E461" s="10"/>
      <c r="F461" s="10"/>
      <c r="G461" s="10"/>
      <c r="H461" s="10"/>
      <c r="I461" s="10"/>
      <c r="J461" s="10"/>
      <c r="K461" s="10"/>
      <c r="L461" s="10"/>
      <c r="M461" s="10"/>
    </row>
    <row r="462" customFormat="false" ht="15" hidden="false" customHeight="false" outlineLevel="0" collapsed="false">
      <c r="A462" s="9"/>
      <c r="B462" s="10"/>
      <c r="C462" s="11" t="str">
        <f aca="false">IF(B462="","",IFERROR(INDEX('Câu hỏi'!$D$2:$D$21,MATCH(B462,'Câu hỏi'!$A$2:$A$21,0)),"Mã không có"))</f>
        <v/>
      </c>
      <c r="D462" s="10"/>
      <c r="E462" s="10"/>
      <c r="F462" s="10"/>
      <c r="G462" s="10"/>
      <c r="H462" s="10"/>
      <c r="I462" s="10"/>
      <c r="J462" s="10"/>
      <c r="K462" s="10"/>
      <c r="L462" s="10"/>
      <c r="M462" s="10"/>
    </row>
    <row r="463" customFormat="false" ht="15" hidden="false" customHeight="false" outlineLevel="0" collapsed="false">
      <c r="A463" s="9"/>
      <c r="B463" s="10"/>
      <c r="C463" s="11" t="str">
        <f aca="false">IF(B463="","",IFERROR(INDEX('Câu hỏi'!$D$2:$D$21,MATCH(B463,'Câu hỏi'!$A$2:$A$21,0)),"Mã không có"))</f>
        <v/>
      </c>
      <c r="D463" s="10"/>
      <c r="E463" s="10"/>
      <c r="F463" s="10"/>
      <c r="G463" s="10"/>
      <c r="H463" s="10"/>
      <c r="I463" s="10"/>
      <c r="J463" s="10"/>
      <c r="K463" s="10"/>
      <c r="L463" s="10"/>
      <c r="M463" s="10"/>
    </row>
    <row r="464" customFormat="false" ht="15" hidden="false" customHeight="false" outlineLevel="0" collapsed="false">
      <c r="A464" s="9"/>
      <c r="B464" s="10"/>
      <c r="C464" s="11" t="str">
        <f aca="false">IF(B464="","",IFERROR(INDEX('Câu hỏi'!$D$2:$D$21,MATCH(B464,'Câu hỏi'!$A$2:$A$21,0)),"Mã không có"))</f>
        <v/>
      </c>
      <c r="D464" s="10"/>
      <c r="E464" s="10"/>
      <c r="F464" s="10"/>
      <c r="G464" s="10"/>
      <c r="H464" s="10"/>
      <c r="I464" s="10"/>
      <c r="J464" s="10"/>
      <c r="K464" s="10"/>
      <c r="L464" s="10"/>
      <c r="M464" s="10"/>
    </row>
    <row r="465" customFormat="false" ht="15" hidden="false" customHeight="false" outlineLevel="0" collapsed="false">
      <c r="A465" s="9"/>
      <c r="B465" s="10"/>
      <c r="C465" s="11" t="str">
        <f aca="false">IF(B465="","",IFERROR(INDEX('Câu hỏi'!$D$2:$D$21,MATCH(B465,'Câu hỏi'!$A$2:$A$21,0)),"Mã không có"))</f>
        <v/>
      </c>
      <c r="D465" s="10"/>
      <c r="E465" s="10"/>
      <c r="F465" s="10"/>
      <c r="G465" s="10"/>
      <c r="H465" s="10"/>
      <c r="I465" s="10"/>
      <c r="J465" s="10"/>
      <c r="K465" s="10"/>
      <c r="L465" s="10"/>
      <c r="M465" s="10"/>
    </row>
    <row r="466" customFormat="false" ht="15" hidden="false" customHeight="false" outlineLevel="0" collapsed="false">
      <c r="A466" s="9"/>
      <c r="B466" s="10"/>
      <c r="C466" s="11" t="str">
        <f aca="false">IF(B466="","",IFERROR(INDEX('Câu hỏi'!$D$2:$D$21,MATCH(B466,'Câu hỏi'!$A$2:$A$21,0)),"Mã không có"))</f>
        <v/>
      </c>
      <c r="D466" s="10"/>
      <c r="E466" s="10"/>
      <c r="F466" s="10"/>
      <c r="G466" s="10"/>
      <c r="H466" s="10"/>
      <c r="I466" s="10"/>
      <c r="J466" s="10"/>
      <c r="K466" s="10"/>
      <c r="L466" s="10"/>
      <c r="M466" s="10"/>
    </row>
    <row r="467" customFormat="false" ht="15" hidden="false" customHeight="false" outlineLevel="0" collapsed="false">
      <c r="A467" s="9"/>
      <c r="B467" s="10"/>
      <c r="C467" s="11" t="str">
        <f aca="false">IF(B467="","",IFERROR(INDEX('Câu hỏi'!$D$2:$D$21,MATCH(B467,'Câu hỏi'!$A$2:$A$21,0)),"Mã không có"))</f>
        <v/>
      </c>
      <c r="D467" s="10"/>
      <c r="E467" s="10"/>
      <c r="F467" s="10"/>
      <c r="G467" s="10"/>
      <c r="H467" s="10"/>
      <c r="I467" s="10"/>
      <c r="J467" s="10"/>
      <c r="K467" s="10"/>
      <c r="L467" s="10"/>
      <c r="M467" s="10"/>
    </row>
    <row r="468" customFormat="false" ht="15" hidden="false" customHeight="false" outlineLevel="0" collapsed="false">
      <c r="A468" s="9"/>
      <c r="B468" s="10"/>
      <c r="C468" s="11" t="str">
        <f aca="false">IF(B468="","",IFERROR(INDEX('Câu hỏi'!$D$2:$D$21,MATCH(B468,'Câu hỏi'!$A$2:$A$21,0)),"Mã không có"))</f>
        <v/>
      </c>
      <c r="D468" s="10"/>
      <c r="E468" s="10"/>
      <c r="F468" s="10"/>
      <c r="G468" s="10"/>
      <c r="H468" s="10"/>
      <c r="I468" s="10"/>
      <c r="J468" s="10"/>
      <c r="K468" s="10"/>
      <c r="L468" s="10"/>
      <c r="M468" s="10"/>
    </row>
    <row r="469" customFormat="false" ht="15" hidden="false" customHeight="false" outlineLevel="0" collapsed="false">
      <c r="A469" s="9"/>
      <c r="B469" s="10"/>
      <c r="C469" s="11" t="str">
        <f aca="false">IF(B469="","",IFERROR(INDEX('Câu hỏi'!$D$2:$D$21,MATCH(B469,'Câu hỏi'!$A$2:$A$21,0)),"Mã không có"))</f>
        <v/>
      </c>
      <c r="D469" s="10"/>
      <c r="E469" s="10"/>
      <c r="F469" s="10"/>
      <c r="G469" s="10"/>
      <c r="H469" s="10"/>
      <c r="I469" s="10"/>
      <c r="J469" s="10"/>
      <c r="K469" s="10"/>
      <c r="L469" s="10"/>
      <c r="M469" s="10"/>
    </row>
    <row r="470" customFormat="false" ht="15" hidden="false" customHeight="false" outlineLevel="0" collapsed="false">
      <c r="A470" s="9"/>
      <c r="B470" s="10"/>
      <c r="C470" s="11" t="str">
        <f aca="false">IF(B470="","",IFERROR(INDEX('Câu hỏi'!$D$2:$D$21,MATCH(B470,'Câu hỏi'!$A$2:$A$21,0)),"Mã không có"))</f>
        <v/>
      </c>
      <c r="D470" s="10"/>
      <c r="E470" s="10"/>
      <c r="F470" s="10"/>
      <c r="G470" s="10"/>
      <c r="H470" s="10"/>
      <c r="I470" s="10"/>
      <c r="J470" s="10"/>
      <c r="K470" s="10"/>
      <c r="L470" s="10"/>
      <c r="M470" s="10"/>
    </row>
    <row r="471" customFormat="false" ht="15" hidden="false" customHeight="false" outlineLevel="0" collapsed="false">
      <c r="A471" s="9"/>
      <c r="B471" s="10"/>
      <c r="C471" s="11" t="str">
        <f aca="false">IF(B471="","",IFERROR(INDEX('Câu hỏi'!$D$2:$D$21,MATCH(B471,'Câu hỏi'!$A$2:$A$21,0)),"Mã không có"))</f>
        <v/>
      </c>
      <c r="D471" s="10"/>
      <c r="E471" s="10"/>
      <c r="F471" s="10"/>
      <c r="G471" s="10"/>
      <c r="H471" s="10"/>
      <c r="I471" s="10"/>
      <c r="J471" s="10"/>
      <c r="K471" s="10"/>
      <c r="L471" s="10"/>
      <c r="M471" s="10"/>
    </row>
    <row r="472" customFormat="false" ht="15" hidden="false" customHeight="false" outlineLevel="0" collapsed="false">
      <c r="A472" s="9"/>
      <c r="B472" s="10"/>
      <c r="C472" s="11" t="str">
        <f aca="false">IF(B472="","",IFERROR(INDEX('Câu hỏi'!$D$2:$D$21,MATCH(B472,'Câu hỏi'!$A$2:$A$21,0)),"Mã không có"))</f>
        <v/>
      </c>
      <c r="D472" s="10"/>
      <c r="E472" s="10"/>
      <c r="F472" s="10"/>
      <c r="G472" s="10"/>
      <c r="H472" s="10"/>
      <c r="I472" s="10"/>
      <c r="J472" s="10"/>
      <c r="K472" s="10"/>
      <c r="L472" s="10"/>
      <c r="M472" s="10"/>
    </row>
    <row r="473" customFormat="false" ht="15" hidden="false" customHeight="false" outlineLevel="0" collapsed="false">
      <c r="A473" s="9"/>
      <c r="B473" s="10"/>
      <c r="C473" s="11" t="str">
        <f aca="false">IF(B473="","",IFERROR(INDEX('Câu hỏi'!$D$2:$D$21,MATCH(B473,'Câu hỏi'!$A$2:$A$21,0)),"Mã không có"))</f>
        <v/>
      </c>
      <c r="D473" s="10"/>
      <c r="E473" s="10"/>
      <c r="F473" s="10"/>
      <c r="G473" s="10"/>
      <c r="H473" s="10"/>
      <c r="I473" s="10"/>
      <c r="J473" s="10"/>
      <c r="K473" s="10"/>
      <c r="L473" s="10"/>
      <c r="M473" s="10"/>
    </row>
    <row r="474" customFormat="false" ht="15" hidden="false" customHeight="false" outlineLevel="0" collapsed="false">
      <c r="A474" s="9"/>
      <c r="B474" s="10"/>
      <c r="C474" s="11" t="str">
        <f aca="false">IF(B474="","",IFERROR(INDEX('Câu hỏi'!$D$2:$D$21,MATCH(B474,'Câu hỏi'!$A$2:$A$21,0)),"Mã không có"))</f>
        <v/>
      </c>
      <c r="D474" s="10"/>
      <c r="E474" s="10"/>
      <c r="F474" s="10"/>
      <c r="G474" s="10"/>
      <c r="H474" s="10"/>
      <c r="I474" s="10"/>
      <c r="J474" s="10"/>
      <c r="K474" s="10"/>
      <c r="L474" s="10"/>
      <c r="M474" s="10"/>
    </row>
    <row r="475" customFormat="false" ht="15" hidden="false" customHeight="false" outlineLevel="0" collapsed="false">
      <c r="A475" s="9"/>
      <c r="B475" s="10"/>
      <c r="C475" s="11" t="str">
        <f aca="false">IF(B475="","",IFERROR(INDEX('Câu hỏi'!$D$2:$D$21,MATCH(B475,'Câu hỏi'!$A$2:$A$21,0)),"Mã không có"))</f>
        <v/>
      </c>
      <c r="D475" s="10"/>
      <c r="E475" s="10"/>
      <c r="F475" s="10"/>
      <c r="G475" s="10"/>
      <c r="H475" s="10"/>
      <c r="I475" s="10"/>
      <c r="J475" s="10"/>
      <c r="K475" s="10"/>
      <c r="L475" s="10"/>
      <c r="M475" s="10"/>
    </row>
    <row r="476" customFormat="false" ht="15" hidden="false" customHeight="false" outlineLevel="0" collapsed="false">
      <c r="A476" s="9"/>
      <c r="B476" s="10"/>
      <c r="C476" s="11" t="str">
        <f aca="false">IF(B476="","",IFERROR(INDEX('Câu hỏi'!$D$2:$D$21,MATCH(B476,'Câu hỏi'!$A$2:$A$21,0)),"Mã không có"))</f>
        <v/>
      </c>
      <c r="D476" s="10"/>
      <c r="E476" s="10"/>
      <c r="F476" s="10"/>
      <c r="G476" s="10"/>
      <c r="H476" s="10"/>
      <c r="I476" s="10"/>
      <c r="J476" s="10"/>
      <c r="K476" s="10"/>
      <c r="L476" s="10"/>
      <c r="M476" s="10"/>
    </row>
    <row r="477" customFormat="false" ht="15" hidden="false" customHeight="false" outlineLevel="0" collapsed="false">
      <c r="A477" s="9"/>
      <c r="B477" s="10"/>
      <c r="C477" s="11" t="str">
        <f aca="false">IF(B477="","",IFERROR(INDEX('Câu hỏi'!$D$2:$D$21,MATCH(B477,'Câu hỏi'!$A$2:$A$21,0)),"Mã không có"))</f>
        <v/>
      </c>
      <c r="D477" s="10"/>
      <c r="E477" s="10"/>
      <c r="F477" s="10"/>
      <c r="G477" s="10"/>
      <c r="H477" s="10"/>
      <c r="I477" s="10"/>
      <c r="J477" s="10"/>
      <c r="K477" s="10"/>
      <c r="L477" s="10"/>
      <c r="M477" s="10"/>
    </row>
    <row r="478" customFormat="false" ht="15" hidden="false" customHeight="false" outlineLevel="0" collapsed="false">
      <c r="A478" s="9"/>
      <c r="B478" s="10"/>
      <c r="C478" s="11" t="str">
        <f aca="false">IF(B478="","",IFERROR(INDEX('Câu hỏi'!$D$2:$D$21,MATCH(B478,'Câu hỏi'!$A$2:$A$21,0)),"Mã không có"))</f>
        <v/>
      </c>
      <c r="D478" s="10"/>
      <c r="E478" s="10"/>
      <c r="F478" s="10"/>
      <c r="G478" s="10"/>
      <c r="H478" s="10"/>
      <c r="I478" s="10"/>
      <c r="J478" s="10"/>
      <c r="K478" s="10"/>
      <c r="L478" s="10"/>
      <c r="M478" s="10"/>
    </row>
    <row r="479" customFormat="false" ht="15" hidden="false" customHeight="false" outlineLevel="0" collapsed="false">
      <c r="A479" s="9"/>
      <c r="B479" s="10"/>
      <c r="C479" s="11" t="str">
        <f aca="false">IF(B479="","",IFERROR(INDEX('Câu hỏi'!$D$2:$D$21,MATCH(B479,'Câu hỏi'!$A$2:$A$21,0)),"Mã không có"))</f>
        <v/>
      </c>
      <c r="D479" s="10"/>
      <c r="E479" s="10"/>
      <c r="F479" s="10"/>
      <c r="G479" s="10"/>
      <c r="H479" s="10"/>
      <c r="I479" s="10"/>
      <c r="J479" s="10"/>
      <c r="K479" s="10"/>
      <c r="L479" s="10"/>
      <c r="M479" s="10"/>
    </row>
    <row r="480" customFormat="false" ht="15" hidden="false" customHeight="false" outlineLevel="0" collapsed="false">
      <c r="A480" s="9"/>
      <c r="B480" s="10"/>
      <c r="C480" s="11" t="str">
        <f aca="false">IF(B480="","",IFERROR(INDEX('Câu hỏi'!$D$2:$D$21,MATCH(B480,'Câu hỏi'!$A$2:$A$21,0)),"Mã không có"))</f>
        <v/>
      </c>
      <c r="D480" s="10"/>
      <c r="E480" s="10"/>
      <c r="F480" s="10"/>
      <c r="G480" s="10"/>
      <c r="H480" s="10"/>
      <c r="I480" s="10"/>
      <c r="J480" s="10"/>
      <c r="K480" s="10"/>
      <c r="L480" s="10"/>
      <c r="M480" s="10"/>
    </row>
    <row r="481" customFormat="false" ht="15" hidden="false" customHeight="false" outlineLevel="0" collapsed="false">
      <c r="A481" s="9"/>
      <c r="B481" s="10"/>
      <c r="C481" s="11" t="str">
        <f aca="false">IF(B481="","",IFERROR(INDEX('Câu hỏi'!$D$2:$D$21,MATCH(B481,'Câu hỏi'!$A$2:$A$21,0)),"Mã không có"))</f>
        <v/>
      </c>
      <c r="D481" s="10"/>
      <c r="E481" s="10"/>
      <c r="F481" s="10"/>
      <c r="G481" s="10"/>
      <c r="H481" s="10"/>
      <c r="I481" s="10"/>
      <c r="J481" s="10"/>
      <c r="K481" s="10"/>
      <c r="L481" s="10"/>
      <c r="M481" s="10"/>
    </row>
    <row r="482" customFormat="false" ht="15" hidden="false" customHeight="false" outlineLevel="0" collapsed="false">
      <c r="A482" s="9"/>
      <c r="B482" s="10"/>
      <c r="C482" s="11" t="str">
        <f aca="false">IF(B482="","",IFERROR(INDEX('Câu hỏi'!$D$2:$D$21,MATCH(B482,'Câu hỏi'!$A$2:$A$21,0)),"Mã không có"))</f>
        <v/>
      </c>
      <c r="D482" s="10"/>
      <c r="E482" s="10"/>
      <c r="F482" s="10"/>
      <c r="G482" s="10"/>
      <c r="H482" s="10"/>
      <c r="I482" s="10"/>
      <c r="J482" s="10"/>
      <c r="K482" s="10"/>
      <c r="L482" s="10"/>
      <c r="M482" s="10"/>
    </row>
    <row r="483" customFormat="false" ht="15" hidden="false" customHeight="false" outlineLevel="0" collapsed="false">
      <c r="A483" s="9"/>
      <c r="B483" s="10"/>
      <c r="C483" s="11" t="str">
        <f aca="false">IF(B483="","",IFERROR(INDEX('Câu hỏi'!$D$2:$D$21,MATCH(B483,'Câu hỏi'!$A$2:$A$21,0)),"Mã không có"))</f>
        <v/>
      </c>
      <c r="D483" s="10"/>
      <c r="E483" s="10"/>
      <c r="F483" s="10"/>
      <c r="G483" s="10"/>
      <c r="H483" s="10"/>
      <c r="I483" s="10"/>
      <c r="J483" s="10"/>
      <c r="K483" s="10"/>
      <c r="L483" s="10"/>
      <c r="M483" s="10"/>
    </row>
    <row r="484" customFormat="false" ht="15" hidden="false" customHeight="false" outlineLevel="0" collapsed="false">
      <c r="A484" s="9"/>
      <c r="B484" s="10"/>
      <c r="C484" s="11" t="str">
        <f aca="false">IF(B484="","",IFERROR(INDEX('Câu hỏi'!$D$2:$D$21,MATCH(B484,'Câu hỏi'!$A$2:$A$21,0)),"Mã không có"))</f>
        <v/>
      </c>
      <c r="D484" s="10"/>
      <c r="E484" s="10"/>
      <c r="F484" s="10"/>
      <c r="G484" s="10"/>
      <c r="H484" s="10"/>
      <c r="I484" s="10"/>
      <c r="J484" s="10"/>
      <c r="K484" s="10"/>
      <c r="L484" s="10"/>
      <c r="M484" s="10"/>
    </row>
    <row r="485" customFormat="false" ht="15" hidden="false" customHeight="false" outlineLevel="0" collapsed="false">
      <c r="A485" s="9"/>
      <c r="B485" s="10"/>
      <c r="C485" s="11" t="str">
        <f aca="false">IF(B485="","",IFERROR(INDEX('Câu hỏi'!$D$2:$D$21,MATCH(B485,'Câu hỏi'!$A$2:$A$21,0)),"Mã không có"))</f>
        <v/>
      </c>
      <c r="D485" s="10"/>
      <c r="E485" s="10"/>
      <c r="F485" s="10"/>
      <c r="G485" s="10"/>
      <c r="H485" s="10"/>
      <c r="I485" s="10"/>
      <c r="J485" s="10"/>
      <c r="K485" s="10"/>
      <c r="L485" s="10"/>
      <c r="M485" s="10"/>
    </row>
    <row r="486" customFormat="false" ht="15" hidden="false" customHeight="false" outlineLevel="0" collapsed="false">
      <c r="A486" s="9"/>
      <c r="B486" s="10"/>
      <c r="C486" s="11" t="str">
        <f aca="false">IF(B486="","",IFERROR(INDEX('Câu hỏi'!$D$2:$D$21,MATCH(B486,'Câu hỏi'!$A$2:$A$21,0)),"Mã không có"))</f>
        <v/>
      </c>
      <c r="D486" s="10"/>
      <c r="E486" s="10"/>
      <c r="F486" s="10"/>
      <c r="G486" s="10"/>
      <c r="H486" s="10"/>
      <c r="I486" s="10"/>
      <c r="J486" s="10"/>
      <c r="K486" s="10"/>
      <c r="L486" s="10"/>
      <c r="M486" s="10"/>
    </row>
    <row r="487" customFormat="false" ht="15" hidden="false" customHeight="false" outlineLevel="0" collapsed="false">
      <c r="A487" s="9"/>
      <c r="B487" s="10"/>
      <c r="C487" s="11" t="str">
        <f aca="false">IF(B487="","",IFERROR(INDEX('Câu hỏi'!$D$2:$D$21,MATCH(B487,'Câu hỏi'!$A$2:$A$21,0)),"Mã không có"))</f>
        <v/>
      </c>
      <c r="D487" s="10"/>
      <c r="E487" s="10"/>
      <c r="F487" s="10"/>
      <c r="G487" s="10"/>
      <c r="H487" s="10"/>
      <c r="I487" s="10"/>
      <c r="J487" s="10"/>
      <c r="K487" s="10"/>
      <c r="L487" s="10"/>
      <c r="M487" s="10"/>
    </row>
    <row r="488" customFormat="false" ht="15" hidden="false" customHeight="false" outlineLevel="0" collapsed="false">
      <c r="A488" s="9"/>
      <c r="B488" s="10"/>
      <c r="C488" s="11" t="str">
        <f aca="false">IF(B488="","",IFERROR(INDEX('Câu hỏi'!$D$2:$D$21,MATCH(B488,'Câu hỏi'!$A$2:$A$21,0)),"Mã không có"))</f>
        <v/>
      </c>
      <c r="D488" s="10"/>
      <c r="E488" s="10"/>
      <c r="F488" s="10"/>
      <c r="G488" s="10"/>
      <c r="H488" s="10"/>
      <c r="I488" s="10"/>
      <c r="J488" s="10"/>
      <c r="K488" s="10"/>
      <c r="L488" s="10"/>
      <c r="M488" s="10"/>
    </row>
    <row r="489" customFormat="false" ht="15" hidden="false" customHeight="false" outlineLevel="0" collapsed="false">
      <c r="A489" s="9"/>
      <c r="B489" s="10"/>
      <c r="C489" s="11" t="str">
        <f aca="false">IF(B489="","",IFERROR(INDEX('Câu hỏi'!$D$2:$D$21,MATCH(B489,'Câu hỏi'!$A$2:$A$21,0)),"Mã không có"))</f>
        <v/>
      </c>
      <c r="D489" s="10"/>
      <c r="E489" s="10"/>
      <c r="F489" s="10"/>
      <c r="G489" s="10"/>
      <c r="H489" s="10"/>
      <c r="I489" s="10"/>
      <c r="J489" s="10"/>
      <c r="K489" s="10"/>
      <c r="L489" s="10"/>
      <c r="M489" s="10"/>
    </row>
    <row r="490" customFormat="false" ht="15" hidden="false" customHeight="false" outlineLevel="0" collapsed="false">
      <c r="A490" s="9"/>
      <c r="B490" s="10"/>
      <c r="C490" s="11" t="str">
        <f aca="false">IF(B490="","",IFERROR(INDEX('Câu hỏi'!$D$2:$D$21,MATCH(B490,'Câu hỏi'!$A$2:$A$21,0)),"Mã không có"))</f>
        <v/>
      </c>
      <c r="D490" s="10"/>
      <c r="E490" s="10"/>
      <c r="F490" s="10"/>
      <c r="G490" s="10"/>
      <c r="H490" s="10"/>
      <c r="I490" s="10"/>
      <c r="J490" s="10"/>
      <c r="K490" s="10"/>
      <c r="L490" s="10"/>
      <c r="M490" s="10"/>
    </row>
    <row r="491" customFormat="false" ht="15" hidden="false" customHeight="false" outlineLevel="0" collapsed="false">
      <c r="A491" s="9"/>
      <c r="B491" s="10"/>
      <c r="C491" s="11" t="str">
        <f aca="false">IF(B491="","",IFERROR(INDEX('Câu hỏi'!$D$2:$D$21,MATCH(B491,'Câu hỏi'!$A$2:$A$21,0)),"Mã không có"))</f>
        <v/>
      </c>
      <c r="D491" s="10"/>
      <c r="E491" s="10"/>
      <c r="F491" s="10"/>
      <c r="G491" s="10"/>
      <c r="H491" s="10"/>
      <c r="I491" s="10"/>
      <c r="J491" s="10"/>
      <c r="K491" s="10"/>
      <c r="L491" s="10"/>
      <c r="M491" s="10"/>
    </row>
    <row r="492" customFormat="false" ht="15" hidden="false" customHeight="false" outlineLevel="0" collapsed="false">
      <c r="A492" s="9"/>
      <c r="B492" s="10"/>
      <c r="C492" s="11" t="str">
        <f aca="false">IF(B492="","",IFERROR(INDEX('Câu hỏi'!$D$2:$D$21,MATCH(B492,'Câu hỏi'!$A$2:$A$21,0)),"Mã không có"))</f>
        <v/>
      </c>
      <c r="D492" s="10"/>
      <c r="E492" s="10"/>
      <c r="F492" s="10"/>
      <c r="G492" s="10"/>
      <c r="H492" s="10"/>
      <c r="I492" s="10"/>
      <c r="J492" s="10"/>
      <c r="K492" s="10"/>
      <c r="L492" s="10"/>
      <c r="M492" s="10"/>
    </row>
    <row r="493" customFormat="false" ht="15" hidden="false" customHeight="false" outlineLevel="0" collapsed="false">
      <c r="A493" s="9"/>
      <c r="B493" s="10"/>
      <c r="C493" s="11" t="str">
        <f aca="false">IF(B493="","",IFERROR(INDEX('Câu hỏi'!$D$2:$D$21,MATCH(B493,'Câu hỏi'!$A$2:$A$21,0)),"Mã không có"))</f>
        <v/>
      </c>
      <c r="D493" s="10"/>
      <c r="E493" s="10"/>
      <c r="F493" s="10"/>
      <c r="G493" s="10"/>
      <c r="H493" s="10"/>
      <c r="I493" s="10"/>
      <c r="J493" s="10"/>
      <c r="K493" s="10"/>
      <c r="L493" s="10"/>
      <c r="M493" s="10"/>
    </row>
    <row r="494" customFormat="false" ht="15" hidden="false" customHeight="false" outlineLevel="0" collapsed="false">
      <c r="A494" s="9"/>
      <c r="B494" s="10"/>
      <c r="C494" s="11" t="str">
        <f aca="false">IF(B494="","",IFERROR(INDEX('Câu hỏi'!$D$2:$D$21,MATCH(B494,'Câu hỏi'!$A$2:$A$21,0)),"Mã không có"))</f>
        <v/>
      </c>
      <c r="D494" s="10"/>
      <c r="E494" s="10"/>
      <c r="F494" s="10"/>
      <c r="G494" s="10"/>
      <c r="H494" s="10"/>
      <c r="I494" s="10"/>
      <c r="J494" s="10"/>
      <c r="K494" s="10"/>
      <c r="L494" s="10"/>
      <c r="M494" s="10"/>
    </row>
    <row r="495" customFormat="false" ht="15" hidden="false" customHeight="false" outlineLevel="0" collapsed="false">
      <c r="A495" s="9"/>
      <c r="B495" s="10"/>
      <c r="C495" s="11" t="str">
        <f aca="false">IF(B495="","",IFERROR(INDEX('Câu hỏi'!$D$2:$D$21,MATCH(B495,'Câu hỏi'!$A$2:$A$21,0)),"Mã không có"))</f>
        <v/>
      </c>
      <c r="D495" s="10"/>
      <c r="E495" s="10"/>
      <c r="F495" s="10"/>
      <c r="G495" s="10"/>
      <c r="H495" s="10"/>
      <c r="I495" s="10"/>
      <c r="J495" s="10"/>
      <c r="K495" s="10"/>
      <c r="L495" s="10"/>
      <c r="M495" s="10"/>
    </row>
    <row r="496" customFormat="false" ht="15" hidden="false" customHeight="false" outlineLevel="0" collapsed="false">
      <c r="A496" s="9"/>
      <c r="B496" s="10"/>
      <c r="C496" s="11" t="str">
        <f aca="false">IF(B496="","",IFERROR(INDEX('Câu hỏi'!$D$2:$D$21,MATCH(B496,'Câu hỏi'!$A$2:$A$21,0)),"Mã không có"))</f>
        <v/>
      </c>
      <c r="D496" s="10"/>
      <c r="E496" s="10"/>
      <c r="F496" s="10"/>
      <c r="G496" s="10"/>
      <c r="H496" s="10"/>
      <c r="I496" s="10"/>
      <c r="J496" s="10"/>
      <c r="K496" s="10"/>
      <c r="L496" s="10"/>
      <c r="M496" s="10"/>
    </row>
    <row r="497" customFormat="false" ht="15" hidden="false" customHeight="false" outlineLevel="0" collapsed="false">
      <c r="A497" s="9"/>
      <c r="B497" s="10"/>
      <c r="C497" s="11" t="str">
        <f aca="false">IF(B497="","",IFERROR(INDEX('Câu hỏi'!$D$2:$D$21,MATCH(B497,'Câu hỏi'!$A$2:$A$21,0)),"Mã không có"))</f>
        <v/>
      </c>
      <c r="D497" s="10"/>
      <c r="E497" s="10"/>
      <c r="F497" s="10"/>
      <c r="G497" s="10"/>
      <c r="H497" s="10"/>
      <c r="I497" s="10"/>
      <c r="J497" s="10"/>
      <c r="K497" s="10"/>
      <c r="L497" s="10"/>
      <c r="M497" s="10"/>
    </row>
    <row r="498" customFormat="false" ht="15" hidden="false" customHeight="false" outlineLevel="0" collapsed="false">
      <c r="A498" s="9"/>
      <c r="B498" s="10"/>
      <c r="C498" s="11" t="str">
        <f aca="false">IF(B498="","",IFERROR(INDEX('Câu hỏi'!$D$2:$D$21,MATCH(B498,'Câu hỏi'!$A$2:$A$21,0)),"Mã không có"))</f>
        <v/>
      </c>
      <c r="D498" s="10"/>
      <c r="E498" s="10"/>
      <c r="F498" s="10"/>
      <c r="G498" s="10"/>
      <c r="H498" s="10"/>
      <c r="I498" s="10"/>
      <c r="J498" s="10"/>
      <c r="K498" s="10"/>
      <c r="L498" s="10"/>
      <c r="M498" s="10"/>
    </row>
    <row r="499" customFormat="false" ht="15" hidden="false" customHeight="false" outlineLevel="0" collapsed="false">
      <c r="A499" s="9"/>
      <c r="B499" s="10"/>
      <c r="C499" s="11" t="str">
        <f aca="false">IF(B499="","",IFERROR(INDEX('Câu hỏi'!$D$2:$D$21,MATCH(B499,'Câu hỏi'!$A$2:$A$21,0)),"Mã không có"))</f>
        <v/>
      </c>
      <c r="D499" s="10"/>
      <c r="E499" s="10"/>
      <c r="F499" s="10"/>
      <c r="G499" s="10"/>
      <c r="H499" s="10"/>
      <c r="I499" s="10"/>
      <c r="J499" s="10"/>
      <c r="K499" s="10"/>
      <c r="L499" s="10"/>
      <c r="M499" s="10"/>
    </row>
    <row r="500" customFormat="false" ht="15" hidden="false" customHeight="false" outlineLevel="0" collapsed="false">
      <c r="A500" s="9"/>
      <c r="B500" s="10"/>
      <c r="C500" s="11" t="str">
        <f aca="false">IF(B500="","",IFERROR(INDEX('Câu hỏi'!$D$2:$D$21,MATCH(B500,'Câu hỏi'!$A$2:$A$21,0)),"Mã không có"))</f>
        <v/>
      </c>
      <c r="D500" s="10"/>
      <c r="E500" s="10"/>
      <c r="F500" s="10"/>
      <c r="G500" s="10"/>
      <c r="H500" s="10"/>
      <c r="I500" s="10"/>
      <c r="J500" s="10"/>
      <c r="K500" s="10"/>
      <c r="L500" s="10"/>
      <c r="M500" s="10"/>
    </row>
    <row r="501" customFormat="false" ht="15" hidden="false" customHeight="false" outlineLevel="0" collapsed="false">
      <c r="A501" s="9"/>
      <c r="B501" s="10"/>
      <c r="C501" s="11" t="str">
        <f aca="false">IF(B501="","",IFERROR(INDEX('Câu hỏi'!$D$2:$D$21,MATCH(B501,'Câu hỏi'!$A$2:$A$21,0)),"Mã không có"))</f>
        <v/>
      </c>
      <c r="D501" s="10"/>
      <c r="E501" s="10"/>
      <c r="F501" s="10"/>
      <c r="G501" s="10"/>
      <c r="H501" s="10"/>
      <c r="I501" s="10"/>
      <c r="J501" s="10"/>
      <c r="K501" s="10"/>
      <c r="L501" s="10"/>
      <c r="M501" s="10"/>
    </row>
    <row r="502" customFormat="false" ht="15" hidden="false" customHeight="false" outlineLevel="0" collapsed="false">
      <c r="A502" s="9"/>
      <c r="B502" s="10"/>
      <c r="C502" s="11" t="str">
        <f aca="false">IF(B502="","",IFERROR(INDEX('Câu hỏi'!$D$2:$D$21,MATCH(B502,'Câu hỏi'!$A$2:$A$21,0)),"Mã không có"))</f>
        <v/>
      </c>
      <c r="D502" s="10"/>
      <c r="E502" s="10"/>
      <c r="F502" s="10"/>
      <c r="G502" s="10"/>
      <c r="H502" s="10"/>
      <c r="I502" s="10"/>
      <c r="J502" s="10"/>
      <c r="K502" s="10"/>
      <c r="L502" s="10"/>
      <c r="M502" s="10"/>
    </row>
    <row r="503" customFormat="false" ht="15" hidden="false" customHeight="false" outlineLevel="0" collapsed="false">
      <c r="A503" s="9"/>
      <c r="B503" s="10"/>
      <c r="C503" s="11" t="str">
        <f aca="false">IF(B503="","",IFERROR(INDEX('Câu hỏi'!$D$2:$D$21,MATCH(B503,'Câu hỏi'!$A$2:$A$21,0)),"Mã không có"))</f>
        <v/>
      </c>
      <c r="D503" s="10"/>
      <c r="E503" s="10"/>
      <c r="F503" s="10"/>
      <c r="G503" s="10"/>
      <c r="H503" s="10"/>
      <c r="I503" s="10"/>
      <c r="J503" s="10"/>
      <c r="K503" s="10"/>
      <c r="L503" s="10"/>
      <c r="M503" s="10"/>
    </row>
    <row r="504" customFormat="false" ht="15" hidden="false" customHeight="false" outlineLevel="0" collapsed="false">
      <c r="A504" s="9"/>
      <c r="B504" s="10"/>
      <c r="C504" s="11" t="str">
        <f aca="false">IF(B504="","",IFERROR(INDEX('Câu hỏi'!$D$2:$D$21,MATCH(B504,'Câu hỏi'!$A$2:$A$21,0)),"Mã không có"))</f>
        <v/>
      </c>
      <c r="D504" s="10"/>
      <c r="E504" s="10"/>
      <c r="F504" s="10"/>
      <c r="G504" s="10"/>
      <c r="H504" s="10"/>
      <c r="I504" s="10"/>
      <c r="J504" s="10"/>
      <c r="K504" s="10"/>
      <c r="L504" s="10"/>
      <c r="M504" s="10"/>
    </row>
    <row r="505" customFormat="false" ht="15" hidden="false" customHeight="false" outlineLevel="0" collapsed="false">
      <c r="A505" s="9"/>
      <c r="B505" s="10"/>
      <c r="C505" s="11" t="str">
        <f aca="false">IF(B505="","",IFERROR(INDEX('Câu hỏi'!$D$2:$D$21,MATCH(B505,'Câu hỏi'!$A$2:$A$21,0)),"Mã không có"))</f>
        <v/>
      </c>
      <c r="D505" s="10"/>
      <c r="E505" s="10"/>
      <c r="F505" s="10"/>
      <c r="G505" s="10"/>
      <c r="H505" s="10"/>
      <c r="I505" s="10"/>
      <c r="J505" s="10"/>
      <c r="K505" s="10"/>
      <c r="L505" s="10"/>
      <c r="M505" s="10"/>
    </row>
    <row r="506" customFormat="false" ht="15" hidden="false" customHeight="false" outlineLevel="0" collapsed="false">
      <c r="A506" s="9"/>
      <c r="B506" s="10"/>
      <c r="C506" s="11" t="str">
        <f aca="false">IF(B506="","",IFERROR(INDEX('Câu hỏi'!$D$2:$D$21,MATCH(B506,'Câu hỏi'!$A$2:$A$21,0)),"Mã không có"))</f>
        <v/>
      </c>
      <c r="D506" s="10"/>
      <c r="E506" s="10"/>
      <c r="F506" s="10"/>
      <c r="G506" s="10"/>
      <c r="H506" s="10"/>
      <c r="I506" s="10"/>
      <c r="J506" s="10"/>
      <c r="K506" s="10"/>
      <c r="L506" s="10"/>
      <c r="M506" s="10"/>
    </row>
    <row r="507" customFormat="false" ht="15" hidden="false" customHeight="false" outlineLevel="0" collapsed="false">
      <c r="A507" s="9"/>
      <c r="B507" s="10"/>
      <c r="C507" s="11" t="str">
        <f aca="false">IF(B507="","",IFERROR(INDEX('Câu hỏi'!$D$2:$D$21,MATCH(B507,'Câu hỏi'!$A$2:$A$21,0)),"Mã không có"))</f>
        <v/>
      </c>
      <c r="D507" s="10"/>
      <c r="E507" s="10"/>
      <c r="F507" s="10"/>
      <c r="G507" s="10"/>
      <c r="H507" s="10"/>
      <c r="I507" s="10"/>
      <c r="J507" s="10"/>
      <c r="K507" s="10"/>
      <c r="L507" s="10"/>
      <c r="M507" s="10"/>
    </row>
    <row r="508" customFormat="false" ht="15" hidden="false" customHeight="false" outlineLevel="0" collapsed="false">
      <c r="A508" s="9"/>
      <c r="B508" s="10"/>
      <c r="C508" s="11" t="str">
        <f aca="false">IF(B508="","",IFERROR(INDEX('Câu hỏi'!$D$2:$D$21,MATCH(B508,'Câu hỏi'!$A$2:$A$21,0)),"Mã không có"))</f>
        <v/>
      </c>
      <c r="D508" s="10"/>
      <c r="E508" s="10"/>
      <c r="F508" s="10"/>
      <c r="G508" s="10"/>
      <c r="H508" s="10"/>
      <c r="I508" s="10"/>
      <c r="J508" s="10"/>
      <c r="K508" s="10"/>
      <c r="L508" s="10"/>
      <c r="M508" s="10"/>
    </row>
    <row r="509" customFormat="false" ht="15" hidden="false" customHeight="false" outlineLevel="0" collapsed="false">
      <c r="A509" s="9"/>
      <c r="B509" s="10"/>
      <c r="C509" s="11" t="str">
        <f aca="false">IF(B509="","",IFERROR(INDEX('Câu hỏi'!$D$2:$D$21,MATCH(B509,'Câu hỏi'!$A$2:$A$21,0)),"Mã không có"))</f>
        <v/>
      </c>
      <c r="D509" s="10"/>
      <c r="E509" s="10"/>
      <c r="F509" s="10"/>
      <c r="G509" s="10"/>
      <c r="H509" s="10"/>
      <c r="I509" s="10"/>
      <c r="J509" s="10"/>
      <c r="K509" s="10"/>
      <c r="L509" s="10"/>
      <c r="M509" s="10"/>
    </row>
    <row r="510" customFormat="false" ht="15" hidden="false" customHeight="false" outlineLevel="0" collapsed="false">
      <c r="A510" s="9"/>
      <c r="B510" s="10"/>
      <c r="C510" s="11" t="str">
        <f aca="false">IF(B510="","",IFERROR(INDEX('Câu hỏi'!$D$2:$D$21,MATCH(B510,'Câu hỏi'!$A$2:$A$21,0)),"Mã không có"))</f>
        <v/>
      </c>
      <c r="D510" s="10"/>
      <c r="E510" s="10"/>
      <c r="F510" s="10"/>
      <c r="G510" s="10"/>
      <c r="H510" s="10"/>
      <c r="I510" s="10"/>
      <c r="J510" s="10"/>
      <c r="K510" s="10"/>
      <c r="L510" s="10"/>
      <c r="M510" s="10"/>
    </row>
    <row r="511" customFormat="false" ht="15" hidden="false" customHeight="false" outlineLevel="0" collapsed="false">
      <c r="A511" s="9"/>
      <c r="B511" s="10"/>
      <c r="C511" s="11" t="str">
        <f aca="false">IF(B511="","",IFERROR(INDEX('Câu hỏi'!$D$2:$D$21,MATCH(B511,'Câu hỏi'!$A$2:$A$21,0)),"Mã không có"))</f>
        <v/>
      </c>
      <c r="D511" s="10"/>
      <c r="E511" s="10"/>
      <c r="F511" s="10"/>
      <c r="G511" s="10"/>
      <c r="H511" s="10"/>
      <c r="I511" s="10"/>
      <c r="J511" s="10"/>
      <c r="K511" s="10"/>
      <c r="L511" s="10"/>
      <c r="M511" s="10"/>
    </row>
    <row r="512" customFormat="false" ht="15" hidden="false" customHeight="false" outlineLevel="0" collapsed="false">
      <c r="A512" s="9"/>
      <c r="B512" s="10"/>
      <c r="C512" s="11" t="str">
        <f aca="false">IF(B512="","",IFERROR(INDEX('Câu hỏi'!$D$2:$D$21,MATCH(B512,'Câu hỏi'!$A$2:$A$21,0)),"Mã không có"))</f>
        <v/>
      </c>
      <c r="D512" s="10"/>
      <c r="E512" s="10"/>
      <c r="F512" s="10"/>
      <c r="G512" s="10"/>
      <c r="H512" s="10"/>
      <c r="I512" s="10"/>
      <c r="J512" s="10"/>
      <c r="K512" s="10"/>
      <c r="L512" s="10"/>
      <c r="M512" s="10"/>
    </row>
    <row r="513" customFormat="false" ht="15" hidden="false" customHeight="false" outlineLevel="0" collapsed="false">
      <c r="A513" s="9"/>
      <c r="B513" s="10"/>
      <c r="C513" s="11" t="str">
        <f aca="false">IF(B513="","",IFERROR(INDEX('Câu hỏi'!$D$2:$D$21,MATCH(B513,'Câu hỏi'!$A$2:$A$21,0)),"Mã không có"))</f>
        <v/>
      </c>
      <c r="D513" s="10"/>
      <c r="E513" s="10"/>
      <c r="F513" s="10"/>
      <c r="G513" s="10"/>
      <c r="H513" s="10"/>
      <c r="I513" s="10"/>
      <c r="J513" s="10"/>
      <c r="K513" s="10"/>
      <c r="L513" s="10"/>
      <c r="M513" s="10"/>
    </row>
    <row r="514" customFormat="false" ht="15" hidden="false" customHeight="false" outlineLevel="0" collapsed="false">
      <c r="A514" s="9"/>
      <c r="B514" s="10"/>
      <c r="C514" s="11" t="str">
        <f aca="false">IF(B514="","",IFERROR(INDEX('Câu hỏi'!$D$2:$D$21,MATCH(B514,'Câu hỏi'!$A$2:$A$21,0)),"Mã không có"))</f>
        <v/>
      </c>
      <c r="D514" s="10"/>
      <c r="E514" s="10"/>
      <c r="F514" s="10"/>
      <c r="G514" s="10"/>
      <c r="H514" s="10"/>
      <c r="I514" s="10"/>
      <c r="J514" s="10"/>
      <c r="K514" s="10"/>
      <c r="L514" s="10"/>
      <c r="M514" s="10"/>
    </row>
    <row r="515" customFormat="false" ht="15" hidden="false" customHeight="false" outlineLevel="0" collapsed="false">
      <c r="A515" s="9"/>
      <c r="B515" s="10"/>
      <c r="C515" s="11" t="str">
        <f aca="false">IF(B515="","",IFERROR(INDEX('Câu hỏi'!$D$2:$D$21,MATCH(B515,'Câu hỏi'!$A$2:$A$21,0)),"Mã không có"))</f>
        <v/>
      </c>
      <c r="D515" s="10"/>
      <c r="E515" s="10"/>
      <c r="F515" s="10"/>
      <c r="G515" s="10"/>
      <c r="H515" s="10"/>
      <c r="I515" s="10"/>
      <c r="J515" s="10"/>
      <c r="K515" s="10"/>
      <c r="L515" s="10"/>
      <c r="M515" s="10"/>
    </row>
    <row r="516" customFormat="false" ht="15" hidden="false" customHeight="false" outlineLevel="0" collapsed="false">
      <c r="A516" s="9"/>
      <c r="B516" s="10"/>
      <c r="C516" s="11" t="str">
        <f aca="false">IF(B516="","",IFERROR(INDEX('Câu hỏi'!$D$2:$D$21,MATCH(B516,'Câu hỏi'!$A$2:$A$21,0)),"Mã không có"))</f>
        <v/>
      </c>
      <c r="D516" s="10"/>
      <c r="E516" s="10"/>
      <c r="F516" s="10"/>
      <c r="G516" s="10"/>
      <c r="H516" s="10"/>
      <c r="I516" s="10"/>
      <c r="J516" s="10"/>
      <c r="K516" s="10"/>
      <c r="L516" s="10"/>
      <c r="M516" s="10"/>
    </row>
    <row r="517" customFormat="false" ht="15" hidden="false" customHeight="false" outlineLevel="0" collapsed="false">
      <c r="A517" s="9"/>
      <c r="B517" s="10"/>
      <c r="C517" s="11" t="str">
        <f aca="false">IF(B517="","",IFERROR(INDEX('Câu hỏi'!$D$2:$D$21,MATCH(B517,'Câu hỏi'!$A$2:$A$21,0)),"Mã không có"))</f>
        <v/>
      </c>
      <c r="D517" s="10"/>
      <c r="E517" s="10"/>
      <c r="F517" s="10"/>
      <c r="G517" s="10"/>
      <c r="H517" s="10"/>
      <c r="I517" s="10"/>
      <c r="J517" s="10"/>
      <c r="K517" s="10"/>
      <c r="L517" s="10"/>
      <c r="M517" s="10"/>
    </row>
    <row r="518" customFormat="false" ht="15" hidden="false" customHeight="false" outlineLevel="0" collapsed="false">
      <c r="A518" s="9"/>
      <c r="B518" s="10"/>
      <c r="C518" s="11" t="str">
        <f aca="false">IF(B518="","",IFERROR(INDEX('Câu hỏi'!$D$2:$D$21,MATCH(B518,'Câu hỏi'!$A$2:$A$21,0)),"Mã không có"))</f>
        <v/>
      </c>
      <c r="D518" s="10"/>
      <c r="E518" s="10"/>
      <c r="F518" s="10"/>
      <c r="G518" s="10"/>
      <c r="H518" s="10"/>
      <c r="I518" s="10"/>
      <c r="J518" s="10"/>
      <c r="K518" s="10"/>
      <c r="L518" s="10"/>
      <c r="M518" s="10"/>
    </row>
    <row r="519" customFormat="false" ht="15" hidden="false" customHeight="false" outlineLevel="0" collapsed="false">
      <c r="A519" s="9"/>
      <c r="B519" s="10"/>
      <c r="C519" s="11" t="str">
        <f aca="false">IF(B519="","",IFERROR(INDEX('Câu hỏi'!$D$2:$D$21,MATCH(B519,'Câu hỏi'!$A$2:$A$21,0)),"Mã không có"))</f>
        <v/>
      </c>
      <c r="D519" s="10"/>
      <c r="E519" s="10"/>
      <c r="F519" s="10"/>
      <c r="G519" s="10"/>
      <c r="H519" s="10"/>
      <c r="I519" s="10"/>
      <c r="J519" s="10"/>
      <c r="K519" s="10"/>
      <c r="L519" s="10"/>
      <c r="M519" s="10"/>
    </row>
    <row r="520" customFormat="false" ht="15" hidden="false" customHeight="false" outlineLevel="0" collapsed="false">
      <c r="A520" s="9"/>
      <c r="B520" s="10"/>
      <c r="C520" s="11" t="str">
        <f aca="false">IF(B520="","",IFERROR(INDEX('Câu hỏi'!$D$2:$D$21,MATCH(B520,'Câu hỏi'!$A$2:$A$21,0)),"Mã không có"))</f>
        <v/>
      </c>
      <c r="D520" s="10"/>
      <c r="E520" s="10"/>
      <c r="F520" s="10"/>
      <c r="G520" s="10"/>
      <c r="H520" s="10"/>
      <c r="I520" s="10"/>
      <c r="J520" s="10"/>
      <c r="K520" s="10"/>
      <c r="L520" s="10"/>
      <c r="M520" s="10"/>
    </row>
    <row r="521" customFormat="false" ht="15" hidden="false" customHeight="false" outlineLevel="0" collapsed="false">
      <c r="A521" s="9"/>
      <c r="B521" s="10"/>
      <c r="C521" s="11" t="str">
        <f aca="false">IF(B521="","",IFERROR(INDEX('Câu hỏi'!$D$2:$D$21,MATCH(B521,'Câu hỏi'!$A$2:$A$21,0)),"Mã không có"))</f>
        <v/>
      </c>
      <c r="D521" s="10"/>
      <c r="E521" s="10"/>
      <c r="F521" s="10"/>
      <c r="G521" s="10"/>
      <c r="H521" s="10"/>
      <c r="I521" s="10"/>
      <c r="J521" s="10"/>
      <c r="K521" s="10"/>
      <c r="L521" s="10"/>
      <c r="M521" s="10"/>
    </row>
    <row r="522" customFormat="false" ht="15" hidden="false" customHeight="false" outlineLevel="0" collapsed="false">
      <c r="A522" s="9"/>
      <c r="B522" s="10"/>
      <c r="C522" s="11" t="str">
        <f aca="false">IF(B522="","",IFERROR(INDEX('Câu hỏi'!$D$2:$D$21,MATCH(B522,'Câu hỏi'!$A$2:$A$21,0)),"Mã không có"))</f>
        <v/>
      </c>
      <c r="D522" s="10"/>
      <c r="E522" s="10"/>
      <c r="F522" s="10"/>
      <c r="G522" s="10"/>
      <c r="H522" s="10"/>
      <c r="I522" s="10"/>
      <c r="J522" s="10"/>
      <c r="K522" s="10"/>
      <c r="L522" s="10"/>
      <c r="M522" s="10"/>
    </row>
    <row r="523" customFormat="false" ht="15" hidden="false" customHeight="false" outlineLevel="0" collapsed="false">
      <c r="A523" s="9"/>
      <c r="B523" s="10"/>
      <c r="C523" s="11" t="str">
        <f aca="false">IF(B523="","",IFERROR(INDEX('Câu hỏi'!$D$2:$D$21,MATCH(B523,'Câu hỏi'!$A$2:$A$21,0)),"Mã không có"))</f>
        <v/>
      </c>
      <c r="D523" s="10"/>
      <c r="E523" s="10"/>
      <c r="F523" s="10"/>
      <c r="G523" s="10"/>
      <c r="H523" s="10"/>
      <c r="I523" s="10"/>
      <c r="J523" s="10"/>
      <c r="K523" s="10"/>
      <c r="L523" s="10"/>
      <c r="M523" s="10"/>
    </row>
    <row r="524" customFormat="false" ht="15" hidden="false" customHeight="false" outlineLevel="0" collapsed="false">
      <c r="A524" s="9"/>
      <c r="B524" s="10"/>
      <c r="C524" s="11" t="str">
        <f aca="false">IF(B524="","",IFERROR(INDEX('Câu hỏi'!$D$2:$D$21,MATCH(B524,'Câu hỏi'!$A$2:$A$21,0)),"Mã không có"))</f>
        <v/>
      </c>
      <c r="D524" s="10"/>
      <c r="E524" s="10"/>
      <c r="F524" s="10"/>
      <c r="G524" s="10"/>
      <c r="H524" s="10"/>
      <c r="I524" s="10"/>
      <c r="J524" s="10"/>
      <c r="K524" s="10"/>
      <c r="L524" s="10"/>
      <c r="M524" s="10"/>
    </row>
    <row r="525" customFormat="false" ht="15" hidden="false" customHeight="false" outlineLevel="0" collapsed="false">
      <c r="A525" s="9"/>
      <c r="B525" s="10"/>
      <c r="C525" s="11" t="str">
        <f aca="false">IF(B525="","",IFERROR(INDEX('Câu hỏi'!$D$2:$D$21,MATCH(B525,'Câu hỏi'!$A$2:$A$21,0)),"Mã không có"))</f>
        <v/>
      </c>
      <c r="D525" s="10"/>
      <c r="E525" s="10"/>
      <c r="F525" s="10"/>
      <c r="G525" s="10"/>
      <c r="H525" s="10"/>
      <c r="I525" s="10"/>
      <c r="J525" s="10"/>
      <c r="K525" s="10"/>
      <c r="L525" s="10"/>
      <c r="M525" s="10"/>
    </row>
    <row r="526" customFormat="false" ht="15" hidden="false" customHeight="false" outlineLevel="0" collapsed="false">
      <c r="A526" s="9"/>
      <c r="B526" s="10"/>
      <c r="C526" s="11" t="str">
        <f aca="false">IF(B526="","",IFERROR(INDEX('Câu hỏi'!$D$2:$D$21,MATCH(B526,'Câu hỏi'!$A$2:$A$21,0)),"Mã không có"))</f>
        <v/>
      </c>
      <c r="D526" s="10"/>
      <c r="E526" s="10"/>
      <c r="F526" s="10"/>
      <c r="G526" s="10"/>
      <c r="H526" s="10"/>
      <c r="I526" s="10"/>
      <c r="J526" s="10"/>
      <c r="K526" s="10"/>
      <c r="L526" s="10"/>
      <c r="M526" s="10"/>
    </row>
    <row r="527" customFormat="false" ht="15" hidden="false" customHeight="false" outlineLevel="0" collapsed="false">
      <c r="A527" s="9"/>
      <c r="B527" s="10"/>
      <c r="C527" s="11" t="str">
        <f aca="false">IF(B527="","",IFERROR(INDEX('Câu hỏi'!$D$2:$D$21,MATCH(B527,'Câu hỏi'!$A$2:$A$21,0)),"Mã không có"))</f>
        <v/>
      </c>
      <c r="D527" s="10"/>
      <c r="E527" s="10"/>
      <c r="F527" s="10"/>
      <c r="G527" s="10"/>
      <c r="H527" s="10"/>
      <c r="I527" s="10"/>
      <c r="J527" s="10"/>
      <c r="K527" s="10"/>
      <c r="L527" s="10"/>
      <c r="M527" s="10"/>
    </row>
    <row r="528" customFormat="false" ht="15" hidden="false" customHeight="false" outlineLevel="0" collapsed="false">
      <c r="A528" s="9"/>
      <c r="B528" s="10"/>
      <c r="C528" s="11" t="str">
        <f aca="false">IF(B528="","",IFERROR(INDEX('Câu hỏi'!$D$2:$D$21,MATCH(B528,'Câu hỏi'!$A$2:$A$21,0)),"Mã không có"))</f>
        <v/>
      </c>
      <c r="D528" s="10"/>
      <c r="E528" s="10"/>
      <c r="F528" s="10"/>
      <c r="G528" s="10"/>
      <c r="H528" s="10"/>
      <c r="I528" s="10"/>
      <c r="J528" s="10"/>
      <c r="K528" s="10"/>
      <c r="L528" s="10"/>
      <c r="M528" s="10"/>
    </row>
    <row r="529" customFormat="false" ht="15" hidden="false" customHeight="false" outlineLevel="0" collapsed="false">
      <c r="A529" s="9"/>
      <c r="B529" s="10"/>
      <c r="C529" s="11" t="str">
        <f aca="false">IF(B529="","",IFERROR(INDEX('Câu hỏi'!$D$2:$D$21,MATCH(B529,'Câu hỏi'!$A$2:$A$21,0)),"Mã không có"))</f>
        <v/>
      </c>
      <c r="D529" s="10"/>
      <c r="E529" s="10"/>
      <c r="F529" s="10"/>
      <c r="G529" s="10"/>
      <c r="H529" s="10"/>
      <c r="I529" s="10"/>
      <c r="J529" s="10"/>
      <c r="K529" s="10"/>
      <c r="L529" s="10"/>
      <c r="M529" s="10"/>
    </row>
    <row r="530" customFormat="false" ht="15" hidden="false" customHeight="false" outlineLevel="0" collapsed="false">
      <c r="A530" s="9"/>
      <c r="B530" s="10"/>
      <c r="C530" s="11" t="str">
        <f aca="false">IF(B530="","",IFERROR(INDEX('Câu hỏi'!$D$2:$D$21,MATCH(B530,'Câu hỏi'!$A$2:$A$21,0)),"Mã không có"))</f>
        <v/>
      </c>
      <c r="D530" s="10"/>
      <c r="E530" s="10"/>
      <c r="F530" s="10"/>
      <c r="G530" s="10"/>
      <c r="H530" s="10"/>
      <c r="I530" s="10"/>
      <c r="J530" s="10"/>
      <c r="K530" s="10"/>
      <c r="L530" s="10"/>
      <c r="M530" s="10"/>
    </row>
    <row r="531" customFormat="false" ht="15" hidden="false" customHeight="false" outlineLevel="0" collapsed="false">
      <c r="A531" s="9"/>
      <c r="B531" s="10"/>
      <c r="C531" s="11" t="str">
        <f aca="false">IF(B531="","",IFERROR(INDEX('Câu hỏi'!$D$2:$D$21,MATCH(B531,'Câu hỏi'!$A$2:$A$21,0)),"Mã không có"))</f>
        <v/>
      </c>
      <c r="D531" s="10"/>
      <c r="E531" s="10"/>
      <c r="F531" s="10"/>
      <c r="G531" s="10"/>
      <c r="H531" s="10"/>
      <c r="I531" s="10"/>
      <c r="J531" s="10"/>
      <c r="K531" s="10"/>
      <c r="L531" s="10"/>
      <c r="M531" s="10"/>
    </row>
    <row r="532" customFormat="false" ht="15" hidden="false" customHeight="false" outlineLevel="0" collapsed="false">
      <c r="A532" s="9"/>
      <c r="B532" s="10"/>
      <c r="C532" s="11" t="str">
        <f aca="false">IF(B532="","",IFERROR(INDEX('Câu hỏi'!$D$2:$D$21,MATCH(B532,'Câu hỏi'!$A$2:$A$21,0)),"Mã không có"))</f>
        <v/>
      </c>
      <c r="D532" s="10"/>
      <c r="E532" s="10"/>
      <c r="F532" s="10"/>
      <c r="G532" s="10"/>
      <c r="H532" s="10"/>
      <c r="I532" s="10"/>
      <c r="J532" s="10"/>
      <c r="K532" s="10"/>
      <c r="L532" s="10"/>
      <c r="M532" s="10"/>
    </row>
    <row r="533" customFormat="false" ht="15" hidden="false" customHeight="false" outlineLevel="0" collapsed="false">
      <c r="A533" s="9"/>
      <c r="B533" s="10"/>
      <c r="C533" s="11" t="str">
        <f aca="false">IF(B533="","",IFERROR(INDEX('Câu hỏi'!$D$2:$D$21,MATCH(B533,'Câu hỏi'!$A$2:$A$21,0)),"Mã không có"))</f>
        <v/>
      </c>
      <c r="D533" s="10"/>
      <c r="E533" s="10"/>
      <c r="F533" s="10"/>
      <c r="G533" s="10"/>
      <c r="H533" s="10"/>
      <c r="I533" s="10"/>
      <c r="J533" s="10"/>
      <c r="K533" s="10"/>
      <c r="L533" s="10"/>
      <c r="M533" s="10"/>
    </row>
    <row r="534" customFormat="false" ht="15" hidden="false" customHeight="false" outlineLevel="0" collapsed="false">
      <c r="A534" s="9"/>
      <c r="B534" s="10"/>
      <c r="C534" s="11" t="str">
        <f aca="false">IF(B534="","",IFERROR(INDEX('Câu hỏi'!$D$2:$D$21,MATCH(B534,'Câu hỏi'!$A$2:$A$21,0)),"Mã không có"))</f>
        <v/>
      </c>
      <c r="D534" s="10"/>
      <c r="E534" s="10"/>
      <c r="F534" s="10"/>
      <c r="G534" s="10"/>
      <c r="H534" s="10"/>
      <c r="I534" s="10"/>
      <c r="J534" s="10"/>
      <c r="K534" s="10"/>
      <c r="L534" s="10"/>
      <c r="M534" s="10"/>
    </row>
    <row r="535" customFormat="false" ht="15" hidden="false" customHeight="false" outlineLevel="0" collapsed="false">
      <c r="A535" s="9"/>
      <c r="B535" s="10"/>
      <c r="C535" s="11" t="str">
        <f aca="false">IF(B535="","",IFERROR(INDEX('Câu hỏi'!$D$2:$D$21,MATCH(B535,'Câu hỏi'!$A$2:$A$21,0)),"Mã không có"))</f>
        <v/>
      </c>
      <c r="D535" s="10"/>
      <c r="E535" s="10"/>
      <c r="F535" s="10"/>
      <c r="G535" s="10"/>
      <c r="H535" s="10"/>
      <c r="I535" s="10"/>
      <c r="J535" s="10"/>
      <c r="K535" s="10"/>
      <c r="L535" s="10"/>
      <c r="M535" s="10"/>
    </row>
    <row r="536" customFormat="false" ht="15" hidden="false" customHeight="false" outlineLevel="0" collapsed="false">
      <c r="A536" s="9"/>
      <c r="B536" s="10"/>
      <c r="C536" s="11" t="str">
        <f aca="false">IF(B536="","",IFERROR(INDEX('Câu hỏi'!$D$2:$D$21,MATCH(B536,'Câu hỏi'!$A$2:$A$21,0)),"Mã không có"))</f>
        <v/>
      </c>
      <c r="D536" s="10"/>
      <c r="E536" s="10"/>
      <c r="F536" s="10"/>
      <c r="G536" s="10"/>
      <c r="H536" s="10"/>
      <c r="I536" s="10"/>
      <c r="J536" s="10"/>
      <c r="K536" s="10"/>
      <c r="L536" s="10"/>
      <c r="M536" s="10"/>
    </row>
    <row r="537" customFormat="false" ht="15" hidden="false" customHeight="false" outlineLevel="0" collapsed="false">
      <c r="A537" s="9"/>
      <c r="B537" s="10"/>
      <c r="C537" s="11" t="str">
        <f aca="false">IF(B537="","",IFERROR(INDEX('Câu hỏi'!$D$2:$D$21,MATCH(B537,'Câu hỏi'!$A$2:$A$21,0)),"Mã không có"))</f>
        <v/>
      </c>
      <c r="D537" s="10"/>
      <c r="E537" s="10"/>
      <c r="F537" s="10"/>
      <c r="G537" s="10"/>
      <c r="H537" s="10"/>
      <c r="I537" s="10"/>
      <c r="J537" s="10"/>
      <c r="K537" s="10"/>
      <c r="L537" s="10"/>
      <c r="M537" s="10"/>
    </row>
    <row r="538" customFormat="false" ht="15" hidden="false" customHeight="false" outlineLevel="0" collapsed="false">
      <c r="A538" s="9"/>
      <c r="B538" s="10"/>
      <c r="C538" s="11" t="str">
        <f aca="false">IF(B538="","",IFERROR(INDEX('Câu hỏi'!$D$2:$D$21,MATCH(B538,'Câu hỏi'!$A$2:$A$21,0)),"Mã không có"))</f>
        <v/>
      </c>
      <c r="D538" s="10"/>
      <c r="E538" s="10"/>
      <c r="F538" s="10"/>
      <c r="G538" s="10"/>
      <c r="H538" s="10"/>
      <c r="I538" s="10"/>
      <c r="J538" s="10"/>
      <c r="K538" s="10"/>
      <c r="L538" s="10"/>
      <c r="M538" s="10"/>
    </row>
    <row r="539" customFormat="false" ht="15" hidden="false" customHeight="false" outlineLevel="0" collapsed="false">
      <c r="A539" s="9"/>
      <c r="B539" s="10"/>
      <c r="C539" s="11" t="str">
        <f aca="false">IF(B539="","",IFERROR(INDEX('Câu hỏi'!$D$2:$D$21,MATCH(B539,'Câu hỏi'!$A$2:$A$21,0)),"Mã không có"))</f>
        <v/>
      </c>
      <c r="D539" s="10"/>
      <c r="E539" s="10"/>
      <c r="F539" s="10"/>
      <c r="G539" s="10"/>
      <c r="H539" s="10"/>
      <c r="I539" s="10"/>
      <c r="J539" s="10"/>
      <c r="K539" s="10"/>
      <c r="L539" s="10"/>
      <c r="M539" s="10"/>
    </row>
    <row r="540" customFormat="false" ht="15" hidden="false" customHeight="false" outlineLevel="0" collapsed="false">
      <c r="A540" s="9"/>
      <c r="B540" s="10"/>
      <c r="C540" s="11" t="str">
        <f aca="false">IF(B540="","",IFERROR(INDEX('Câu hỏi'!$D$2:$D$21,MATCH(B540,'Câu hỏi'!$A$2:$A$21,0)),"Mã không có"))</f>
        <v/>
      </c>
      <c r="D540" s="10"/>
      <c r="E540" s="10"/>
      <c r="F540" s="10"/>
      <c r="G540" s="10"/>
      <c r="H540" s="10"/>
      <c r="I540" s="10"/>
      <c r="J540" s="10"/>
      <c r="K540" s="10"/>
      <c r="L540" s="10"/>
      <c r="M540" s="10"/>
    </row>
    <row r="541" customFormat="false" ht="15" hidden="false" customHeight="false" outlineLevel="0" collapsed="false">
      <c r="A541" s="9"/>
      <c r="B541" s="10"/>
      <c r="C541" s="11" t="str">
        <f aca="false">IF(B541="","",IFERROR(INDEX('Câu hỏi'!$D$2:$D$21,MATCH(B541,'Câu hỏi'!$A$2:$A$21,0)),"Mã không có"))</f>
        <v/>
      </c>
      <c r="D541" s="10"/>
      <c r="E541" s="10"/>
      <c r="F541" s="10"/>
      <c r="G541" s="10"/>
      <c r="H541" s="10"/>
      <c r="I541" s="10"/>
      <c r="J541" s="10"/>
      <c r="K541" s="10"/>
      <c r="L541" s="10"/>
      <c r="M541" s="10"/>
    </row>
    <row r="542" customFormat="false" ht="15" hidden="false" customHeight="false" outlineLevel="0" collapsed="false">
      <c r="A542" s="9"/>
      <c r="B542" s="10"/>
      <c r="C542" s="11" t="str">
        <f aca="false">IF(B542="","",IFERROR(INDEX('Câu hỏi'!$D$2:$D$21,MATCH(B542,'Câu hỏi'!$A$2:$A$21,0)),"Mã không có"))</f>
        <v/>
      </c>
      <c r="D542" s="10"/>
      <c r="E542" s="10"/>
      <c r="F542" s="10"/>
      <c r="G542" s="10"/>
      <c r="H542" s="10"/>
      <c r="I542" s="10"/>
      <c r="J542" s="10"/>
      <c r="K542" s="10"/>
      <c r="L542" s="10"/>
      <c r="M542" s="10"/>
    </row>
    <row r="543" customFormat="false" ht="15" hidden="false" customHeight="false" outlineLevel="0" collapsed="false">
      <c r="A543" s="9"/>
      <c r="B543" s="10"/>
      <c r="C543" s="11" t="str">
        <f aca="false">IF(B543="","",IFERROR(INDEX('Câu hỏi'!$D$2:$D$21,MATCH(B543,'Câu hỏi'!$A$2:$A$21,0)),"Mã không có"))</f>
        <v/>
      </c>
      <c r="D543" s="10"/>
      <c r="E543" s="10"/>
      <c r="F543" s="10"/>
      <c r="G543" s="10"/>
      <c r="H543" s="10"/>
      <c r="I543" s="10"/>
      <c r="J543" s="10"/>
      <c r="K543" s="10"/>
      <c r="L543" s="10"/>
      <c r="M543" s="10"/>
    </row>
    <row r="544" customFormat="false" ht="15" hidden="false" customHeight="false" outlineLevel="0" collapsed="false">
      <c r="A544" s="9"/>
      <c r="B544" s="10"/>
      <c r="C544" s="11" t="str">
        <f aca="false">IF(B544="","",IFERROR(INDEX('Câu hỏi'!$D$2:$D$21,MATCH(B544,'Câu hỏi'!$A$2:$A$21,0)),"Mã không có"))</f>
        <v/>
      </c>
      <c r="D544" s="10"/>
      <c r="E544" s="10"/>
      <c r="F544" s="10"/>
      <c r="G544" s="10"/>
      <c r="H544" s="10"/>
      <c r="I544" s="10"/>
      <c r="J544" s="10"/>
      <c r="K544" s="10"/>
      <c r="L544" s="10"/>
      <c r="M544" s="10"/>
    </row>
    <row r="545" customFormat="false" ht="15" hidden="false" customHeight="false" outlineLevel="0" collapsed="false">
      <c r="A545" s="9"/>
      <c r="B545" s="10"/>
      <c r="C545" s="11" t="str">
        <f aca="false">IF(B545="","",IFERROR(INDEX('Câu hỏi'!$D$2:$D$21,MATCH(B545,'Câu hỏi'!$A$2:$A$21,0)),"Mã không có"))</f>
        <v/>
      </c>
      <c r="D545" s="10"/>
      <c r="E545" s="10"/>
      <c r="F545" s="10"/>
      <c r="G545" s="10"/>
      <c r="H545" s="10"/>
      <c r="I545" s="10"/>
      <c r="J545" s="10"/>
      <c r="K545" s="10"/>
      <c r="L545" s="10"/>
      <c r="M545" s="10"/>
    </row>
    <row r="546" customFormat="false" ht="15" hidden="false" customHeight="false" outlineLevel="0" collapsed="false">
      <c r="A546" s="9"/>
      <c r="B546" s="10"/>
      <c r="C546" s="11" t="str">
        <f aca="false">IF(B546="","",IFERROR(INDEX('Câu hỏi'!$D$2:$D$21,MATCH(B546,'Câu hỏi'!$A$2:$A$21,0)),"Mã không có"))</f>
        <v/>
      </c>
      <c r="D546" s="10"/>
      <c r="E546" s="10"/>
      <c r="F546" s="10"/>
      <c r="G546" s="10"/>
      <c r="H546" s="10"/>
      <c r="I546" s="10"/>
      <c r="J546" s="10"/>
      <c r="K546" s="10"/>
      <c r="L546" s="10"/>
      <c r="M546" s="10"/>
    </row>
    <row r="547" customFormat="false" ht="15" hidden="false" customHeight="false" outlineLevel="0" collapsed="false">
      <c r="A547" s="9"/>
      <c r="B547" s="10"/>
      <c r="C547" s="11" t="str">
        <f aca="false">IF(B547="","",IFERROR(INDEX('Câu hỏi'!$D$2:$D$21,MATCH(B547,'Câu hỏi'!$A$2:$A$21,0)),"Mã không có"))</f>
        <v/>
      </c>
      <c r="D547" s="10"/>
      <c r="E547" s="10"/>
      <c r="F547" s="10"/>
      <c r="G547" s="10"/>
      <c r="H547" s="10"/>
      <c r="I547" s="10"/>
      <c r="J547" s="10"/>
      <c r="K547" s="10"/>
      <c r="L547" s="10"/>
      <c r="M547" s="10"/>
    </row>
    <row r="548" customFormat="false" ht="15" hidden="false" customHeight="false" outlineLevel="0" collapsed="false">
      <c r="A548" s="9"/>
      <c r="B548" s="10"/>
      <c r="C548" s="11" t="str">
        <f aca="false">IF(B548="","",IFERROR(INDEX('Câu hỏi'!$D$2:$D$21,MATCH(B548,'Câu hỏi'!$A$2:$A$21,0)),"Mã không có"))</f>
        <v/>
      </c>
      <c r="D548" s="10"/>
      <c r="E548" s="10"/>
      <c r="F548" s="10"/>
      <c r="G548" s="10"/>
      <c r="H548" s="10"/>
      <c r="I548" s="10"/>
      <c r="J548" s="10"/>
      <c r="K548" s="10"/>
      <c r="L548" s="10"/>
      <c r="M548" s="10"/>
    </row>
    <row r="549" customFormat="false" ht="15" hidden="false" customHeight="false" outlineLevel="0" collapsed="false">
      <c r="A549" s="9"/>
      <c r="B549" s="10"/>
      <c r="C549" s="11" t="str">
        <f aca="false">IF(B549="","",IFERROR(INDEX('Câu hỏi'!$D$2:$D$21,MATCH(B549,'Câu hỏi'!$A$2:$A$21,0)),"Mã không có"))</f>
        <v/>
      </c>
      <c r="D549" s="10"/>
      <c r="E549" s="10"/>
      <c r="F549" s="10"/>
      <c r="G549" s="10"/>
      <c r="H549" s="10"/>
      <c r="I549" s="10"/>
      <c r="J549" s="10"/>
      <c r="K549" s="10"/>
      <c r="L549" s="10"/>
      <c r="M549" s="10"/>
    </row>
    <row r="550" customFormat="false" ht="15" hidden="false" customHeight="false" outlineLevel="0" collapsed="false">
      <c r="A550" s="9"/>
      <c r="B550" s="10"/>
      <c r="C550" s="11" t="str">
        <f aca="false">IF(B550="","",IFERROR(INDEX('Câu hỏi'!$D$2:$D$21,MATCH(B550,'Câu hỏi'!$A$2:$A$21,0)),"Mã không có"))</f>
        <v/>
      </c>
      <c r="D550" s="10"/>
      <c r="E550" s="10"/>
      <c r="F550" s="10"/>
      <c r="G550" s="10"/>
      <c r="H550" s="10"/>
      <c r="I550" s="10"/>
      <c r="J550" s="10"/>
      <c r="K550" s="10"/>
      <c r="L550" s="10"/>
      <c r="M550" s="10"/>
    </row>
    <row r="551" customFormat="false" ht="15" hidden="false" customHeight="false" outlineLevel="0" collapsed="false">
      <c r="A551" s="9"/>
      <c r="B551" s="10"/>
      <c r="C551" s="11" t="str">
        <f aca="false">IF(B551="","",IFERROR(INDEX('Câu hỏi'!$D$2:$D$21,MATCH(B551,'Câu hỏi'!$A$2:$A$21,0)),"Mã không có"))</f>
        <v/>
      </c>
      <c r="D551" s="10"/>
      <c r="E551" s="10"/>
      <c r="F551" s="10"/>
      <c r="G551" s="10"/>
      <c r="H551" s="10"/>
      <c r="I551" s="10"/>
      <c r="J551" s="10"/>
      <c r="K551" s="10"/>
      <c r="L551" s="10"/>
      <c r="M551" s="10"/>
    </row>
    <row r="552" customFormat="false" ht="15" hidden="false" customHeight="false" outlineLevel="0" collapsed="false">
      <c r="A552" s="9"/>
      <c r="B552" s="10"/>
      <c r="C552" s="11" t="str">
        <f aca="false">IF(B552="","",IFERROR(INDEX('Câu hỏi'!$D$2:$D$21,MATCH(B552,'Câu hỏi'!$A$2:$A$21,0)),"Mã không có"))</f>
        <v/>
      </c>
      <c r="D552" s="10"/>
      <c r="E552" s="10"/>
      <c r="F552" s="10"/>
      <c r="G552" s="10"/>
      <c r="H552" s="10"/>
      <c r="I552" s="10"/>
      <c r="J552" s="10"/>
      <c r="K552" s="10"/>
      <c r="L552" s="10"/>
      <c r="M552" s="10"/>
    </row>
    <row r="553" customFormat="false" ht="15" hidden="false" customHeight="false" outlineLevel="0" collapsed="false">
      <c r="A553" s="9"/>
      <c r="B553" s="10"/>
      <c r="C553" s="11" t="str">
        <f aca="false">IF(B553="","",IFERROR(INDEX('Câu hỏi'!$D$2:$D$21,MATCH(B553,'Câu hỏi'!$A$2:$A$21,0)),"Mã không có"))</f>
        <v/>
      </c>
      <c r="D553" s="10"/>
      <c r="E553" s="10"/>
      <c r="F553" s="10"/>
      <c r="G553" s="10"/>
      <c r="H553" s="10"/>
      <c r="I553" s="10"/>
      <c r="J553" s="10"/>
      <c r="K553" s="10"/>
      <c r="L553" s="10"/>
      <c r="M553" s="10"/>
    </row>
    <row r="554" customFormat="false" ht="15" hidden="false" customHeight="false" outlineLevel="0" collapsed="false">
      <c r="A554" s="9"/>
      <c r="B554" s="10"/>
      <c r="C554" s="11" t="str">
        <f aca="false">IF(B554="","",IFERROR(INDEX('Câu hỏi'!$D$2:$D$21,MATCH(B554,'Câu hỏi'!$A$2:$A$21,0)),"Mã không có"))</f>
        <v/>
      </c>
      <c r="D554" s="10"/>
      <c r="E554" s="10"/>
      <c r="F554" s="10"/>
      <c r="G554" s="10"/>
      <c r="H554" s="10"/>
      <c r="I554" s="10"/>
      <c r="J554" s="10"/>
      <c r="K554" s="10"/>
      <c r="L554" s="10"/>
      <c r="M554" s="10"/>
    </row>
    <row r="555" customFormat="false" ht="15" hidden="false" customHeight="false" outlineLevel="0" collapsed="false">
      <c r="A555" s="9"/>
      <c r="B555" s="10"/>
      <c r="C555" s="11" t="str">
        <f aca="false">IF(B555="","",IFERROR(INDEX('Câu hỏi'!$D$2:$D$21,MATCH(B555,'Câu hỏi'!$A$2:$A$21,0)),"Mã không có"))</f>
        <v/>
      </c>
      <c r="D555" s="10"/>
      <c r="E555" s="10"/>
      <c r="F555" s="10"/>
      <c r="G555" s="10"/>
      <c r="H555" s="10"/>
      <c r="I555" s="10"/>
      <c r="J555" s="10"/>
      <c r="K555" s="10"/>
      <c r="L555" s="10"/>
      <c r="M555" s="10"/>
    </row>
    <row r="556" customFormat="false" ht="15" hidden="false" customHeight="false" outlineLevel="0" collapsed="false">
      <c r="A556" s="9"/>
      <c r="B556" s="10"/>
      <c r="C556" s="11" t="str">
        <f aca="false">IF(B556="","",IFERROR(INDEX('Câu hỏi'!$D$2:$D$21,MATCH(B556,'Câu hỏi'!$A$2:$A$21,0)),"Mã không có"))</f>
        <v/>
      </c>
      <c r="D556" s="10"/>
      <c r="E556" s="10"/>
      <c r="F556" s="10"/>
      <c r="G556" s="10"/>
      <c r="H556" s="10"/>
      <c r="I556" s="10"/>
      <c r="J556" s="10"/>
      <c r="K556" s="10"/>
      <c r="L556" s="10"/>
      <c r="M556" s="10"/>
    </row>
    <row r="557" customFormat="false" ht="15" hidden="false" customHeight="false" outlineLevel="0" collapsed="false">
      <c r="A557" s="9"/>
      <c r="B557" s="10"/>
      <c r="C557" s="11" t="str">
        <f aca="false">IF(B557="","",IFERROR(INDEX('Câu hỏi'!$D$2:$D$21,MATCH(B557,'Câu hỏi'!$A$2:$A$21,0)),"Mã không có"))</f>
        <v/>
      </c>
      <c r="D557" s="10"/>
      <c r="E557" s="10"/>
      <c r="F557" s="10"/>
      <c r="G557" s="10"/>
      <c r="H557" s="10"/>
      <c r="I557" s="10"/>
      <c r="J557" s="10"/>
      <c r="K557" s="10"/>
      <c r="L557" s="10"/>
      <c r="M557" s="10"/>
    </row>
    <row r="558" customFormat="false" ht="15" hidden="false" customHeight="false" outlineLevel="0" collapsed="false">
      <c r="A558" s="9"/>
      <c r="B558" s="10"/>
      <c r="C558" s="11" t="str">
        <f aca="false">IF(B558="","",IFERROR(INDEX('Câu hỏi'!$D$2:$D$21,MATCH(B558,'Câu hỏi'!$A$2:$A$21,0)),"Mã không có"))</f>
        <v/>
      </c>
      <c r="D558" s="10"/>
      <c r="E558" s="10"/>
      <c r="F558" s="10"/>
      <c r="G558" s="10"/>
      <c r="H558" s="10"/>
      <c r="I558" s="10"/>
      <c r="J558" s="10"/>
      <c r="K558" s="10"/>
      <c r="L558" s="10"/>
      <c r="M558" s="10"/>
    </row>
    <row r="559" customFormat="false" ht="15" hidden="false" customHeight="false" outlineLevel="0" collapsed="false">
      <c r="A559" s="9"/>
      <c r="B559" s="10"/>
      <c r="C559" s="11" t="str">
        <f aca="false">IF(B559="","",IFERROR(INDEX('Câu hỏi'!$D$2:$D$21,MATCH(B559,'Câu hỏi'!$A$2:$A$21,0)),"Mã không có"))</f>
        <v/>
      </c>
      <c r="D559" s="10"/>
      <c r="E559" s="10"/>
      <c r="F559" s="10"/>
      <c r="G559" s="10"/>
      <c r="H559" s="10"/>
      <c r="I559" s="10"/>
      <c r="J559" s="10"/>
      <c r="K559" s="10"/>
      <c r="L559" s="10"/>
      <c r="M559" s="10"/>
    </row>
    <row r="560" customFormat="false" ht="15" hidden="false" customHeight="false" outlineLevel="0" collapsed="false">
      <c r="A560" s="9"/>
      <c r="B560" s="10"/>
      <c r="C560" s="11" t="str">
        <f aca="false">IF(B560="","",IFERROR(INDEX('Câu hỏi'!$D$2:$D$21,MATCH(B560,'Câu hỏi'!$A$2:$A$21,0)),"Mã không có"))</f>
        <v/>
      </c>
      <c r="D560" s="10"/>
      <c r="E560" s="10"/>
      <c r="F560" s="10"/>
      <c r="G560" s="10"/>
      <c r="H560" s="10"/>
      <c r="I560" s="10"/>
      <c r="J560" s="10"/>
      <c r="K560" s="10"/>
      <c r="L560" s="10"/>
      <c r="M560" s="10"/>
    </row>
    <row r="561" customFormat="false" ht="15" hidden="false" customHeight="false" outlineLevel="0" collapsed="false">
      <c r="A561" s="9"/>
      <c r="B561" s="10"/>
      <c r="C561" s="11" t="str">
        <f aca="false">IF(B561="","",IFERROR(INDEX('Câu hỏi'!$D$2:$D$21,MATCH(B561,'Câu hỏi'!$A$2:$A$21,0)),"Mã không có"))</f>
        <v/>
      </c>
      <c r="D561" s="10"/>
      <c r="E561" s="10"/>
      <c r="F561" s="10"/>
      <c r="G561" s="10"/>
      <c r="H561" s="10"/>
      <c r="I561" s="10"/>
      <c r="J561" s="10"/>
      <c r="K561" s="10"/>
      <c r="L561" s="10"/>
      <c r="M561" s="10"/>
    </row>
    <row r="562" customFormat="false" ht="15" hidden="false" customHeight="false" outlineLevel="0" collapsed="false">
      <c r="A562" s="9"/>
      <c r="B562" s="10"/>
      <c r="C562" s="11" t="str">
        <f aca="false">IF(B562="","",IFERROR(INDEX('Câu hỏi'!$D$2:$D$21,MATCH(B562,'Câu hỏi'!$A$2:$A$21,0)),"Mã không có"))</f>
        <v/>
      </c>
      <c r="D562" s="10"/>
      <c r="E562" s="10"/>
      <c r="F562" s="10"/>
      <c r="G562" s="10"/>
      <c r="H562" s="10"/>
      <c r="I562" s="10"/>
      <c r="J562" s="10"/>
      <c r="K562" s="10"/>
      <c r="L562" s="10"/>
      <c r="M562" s="10"/>
    </row>
    <row r="563" customFormat="false" ht="15" hidden="false" customHeight="false" outlineLevel="0" collapsed="false">
      <c r="A563" s="9"/>
      <c r="B563" s="10"/>
      <c r="C563" s="11" t="str">
        <f aca="false">IF(B563="","",IFERROR(INDEX('Câu hỏi'!$D$2:$D$21,MATCH(B563,'Câu hỏi'!$A$2:$A$21,0)),"Mã không có"))</f>
        <v/>
      </c>
      <c r="D563" s="10"/>
      <c r="E563" s="10"/>
      <c r="F563" s="10"/>
      <c r="G563" s="10"/>
      <c r="H563" s="10"/>
      <c r="I563" s="10"/>
      <c r="J563" s="10"/>
      <c r="K563" s="10"/>
      <c r="L563" s="10"/>
      <c r="M563" s="10"/>
    </row>
    <row r="564" customFormat="false" ht="15" hidden="false" customHeight="false" outlineLevel="0" collapsed="false">
      <c r="A564" s="9"/>
      <c r="B564" s="10"/>
      <c r="C564" s="11" t="str">
        <f aca="false">IF(B564="","",IFERROR(INDEX('Câu hỏi'!$D$2:$D$21,MATCH(B564,'Câu hỏi'!$A$2:$A$21,0)),"Mã không có"))</f>
        <v/>
      </c>
      <c r="D564" s="10"/>
      <c r="E564" s="10"/>
      <c r="F564" s="10"/>
      <c r="G564" s="10"/>
      <c r="H564" s="10"/>
      <c r="I564" s="10"/>
      <c r="J564" s="10"/>
      <c r="K564" s="10"/>
      <c r="L564" s="10"/>
      <c r="M564" s="10"/>
    </row>
    <row r="565" customFormat="false" ht="15" hidden="false" customHeight="false" outlineLevel="0" collapsed="false">
      <c r="A565" s="9"/>
      <c r="B565" s="10"/>
      <c r="C565" s="11" t="str">
        <f aca="false">IF(B565="","",IFERROR(INDEX('Câu hỏi'!$D$2:$D$21,MATCH(B565,'Câu hỏi'!$A$2:$A$21,0)),"Mã không có"))</f>
        <v/>
      </c>
      <c r="D565" s="10"/>
      <c r="E565" s="10"/>
      <c r="F565" s="10"/>
      <c r="G565" s="10"/>
      <c r="H565" s="10"/>
      <c r="I565" s="10"/>
      <c r="J565" s="10"/>
      <c r="K565" s="10"/>
      <c r="L565" s="10"/>
      <c r="M565" s="10"/>
    </row>
    <row r="566" customFormat="false" ht="15" hidden="false" customHeight="false" outlineLevel="0" collapsed="false">
      <c r="A566" s="9"/>
      <c r="B566" s="10"/>
      <c r="C566" s="11" t="str">
        <f aca="false">IF(B566="","",IFERROR(INDEX('Câu hỏi'!$D$2:$D$21,MATCH(B566,'Câu hỏi'!$A$2:$A$21,0)),"Mã không có"))</f>
        <v/>
      </c>
      <c r="D566" s="10"/>
      <c r="E566" s="10"/>
      <c r="F566" s="10"/>
      <c r="G566" s="10"/>
      <c r="H566" s="10"/>
      <c r="I566" s="10"/>
      <c r="J566" s="10"/>
      <c r="K566" s="10"/>
      <c r="L566" s="10"/>
      <c r="M566" s="10"/>
    </row>
    <row r="567" customFormat="false" ht="15" hidden="false" customHeight="false" outlineLevel="0" collapsed="false">
      <c r="A567" s="9"/>
      <c r="B567" s="10"/>
      <c r="C567" s="11" t="str">
        <f aca="false">IF(B567="","",IFERROR(INDEX('Câu hỏi'!$D$2:$D$21,MATCH(B567,'Câu hỏi'!$A$2:$A$21,0)),"Mã không có"))</f>
        <v/>
      </c>
      <c r="D567" s="10"/>
      <c r="E567" s="10"/>
      <c r="F567" s="10"/>
      <c r="G567" s="10"/>
      <c r="H567" s="10"/>
      <c r="I567" s="10"/>
      <c r="J567" s="10"/>
      <c r="K567" s="10"/>
      <c r="L567" s="10"/>
      <c r="M567" s="10"/>
    </row>
    <row r="568" customFormat="false" ht="15" hidden="false" customHeight="false" outlineLevel="0" collapsed="false">
      <c r="A568" s="9"/>
      <c r="B568" s="10"/>
      <c r="C568" s="11" t="str">
        <f aca="false">IF(B568="","",IFERROR(INDEX('Câu hỏi'!$D$2:$D$21,MATCH(B568,'Câu hỏi'!$A$2:$A$21,0)),"Mã không có"))</f>
        <v/>
      </c>
      <c r="D568" s="10"/>
      <c r="E568" s="10"/>
      <c r="F568" s="10"/>
      <c r="G568" s="10"/>
      <c r="H568" s="10"/>
      <c r="I568" s="10"/>
      <c r="J568" s="10"/>
      <c r="K568" s="10"/>
      <c r="L568" s="10"/>
      <c r="M568" s="10"/>
    </row>
    <row r="569" customFormat="false" ht="15" hidden="false" customHeight="false" outlineLevel="0" collapsed="false">
      <c r="A569" s="9"/>
      <c r="B569" s="10"/>
      <c r="C569" s="11" t="str">
        <f aca="false">IF(B569="","",IFERROR(INDEX('Câu hỏi'!$D$2:$D$21,MATCH(B569,'Câu hỏi'!$A$2:$A$21,0)),"Mã không có"))</f>
        <v/>
      </c>
      <c r="D569" s="10"/>
      <c r="E569" s="10"/>
      <c r="F569" s="10"/>
      <c r="G569" s="10"/>
      <c r="H569" s="10"/>
      <c r="I569" s="10"/>
      <c r="J569" s="10"/>
      <c r="K569" s="10"/>
      <c r="L569" s="10"/>
      <c r="M569" s="10"/>
    </row>
    <row r="570" customFormat="false" ht="15" hidden="false" customHeight="false" outlineLevel="0" collapsed="false">
      <c r="A570" s="9"/>
      <c r="B570" s="10"/>
      <c r="C570" s="11" t="str">
        <f aca="false">IF(B570="","",IFERROR(INDEX('Câu hỏi'!$D$2:$D$21,MATCH(B570,'Câu hỏi'!$A$2:$A$21,0)),"Mã không có"))</f>
        <v/>
      </c>
      <c r="D570" s="10"/>
      <c r="E570" s="10"/>
      <c r="F570" s="10"/>
      <c r="G570" s="10"/>
      <c r="H570" s="10"/>
      <c r="I570" s="10"/>
      <c r="J570" s="10"/>
      <c r="K570" s="10"/>
      <c r="L570" s="10"/>
      <c r="M570" s="10"/>
    </row>
    <row r="571" customFormat="false" ht="15" hidden="false" customHeight="false" outlineLevel="0" collapsed="false">
      <c r="A571" s="9"/>
      <c r="B571" s="10"/>
      <c r="C571" s="11" t="str">
        <f aca="false">IF(B571="","",IFERROR(INDEX('Câu hỏi'!$D$2:$D$21,MATCH(B571,'Câu hỏi'!$A$2:$A$21,0)),"Mã không có"))</f>
        <v/>
      </c>
      <c r="D571" s="10"/>
      <c r="E571" s="10"/>
      <c r="F571" s="10"/>
      <c r="G571" s="10"/>
      <c r="H571" s="10"/>
      <c r="I571" s="10"/>
      <c r="J571" s="10"/>
      <c r="K571" s="10"/>
      <c r="L571" s="10"/>
      <c r="M571" s="10"/>
    </row>
    <row r="572" customFormat="false" ht="15" hidden="false" customHeight="false" outlineLevel="0" collapsed="false">
      <c r="A572" s="9"/>
      <c r="B572" s="10"/>
      <c r="C572" s="11" t="str">
        <f aca="false">IF(B572="","",IFERROR(INDEX('Câu hỏi'!$D$2:$D$21,MATCH(B572,'Câu hỏi'!$A$2:$A$21,0)),"Mã không có"))</f>
        <v/>
      </c>
      <c r="D572" s="10"/>
      <c r="E572" s="10"/>
      <c r="F572" s="10"/>
      <c r="G572" s="10"/>
      <c r="H572" s="10"/>
      <c r="I572" s="10"/>
      <c r="J572" s="10"/>
      <c r="K572" s="10"/>
      <c r="L572" s="10"/>
      <c r="M572" s="10"/>
    </row>
    <row r="573" customFormat="false" ht="15" hidden="false" customHeight="false" outlineLevel="0" collapsed="false">
      <c r="A573" s="9"/>
      <c r="B573" s="10"/>
      <c r="C573" s="11" t="str">
        <f aca="false">IF(B573="","",IFERROR(INDEX('Câu hỏi'!$D$2:$D$21,MATCH(B573,'Câu hỏi'!$A$2:$A$21,0)),"Mã không có"))</f>
        <v/>
      </c>
      <c r="D573" s="10"/>
      <c r="E573" s="10"/>
      <c r="F573" s="10"/>
      <c r="G573" s="10"/>
      <c r="H573" s="10"/>
      <c r="I573" s="10"/>
      <c r="J573" s="10"/>
      <c r="K573" s="10"/>
      <c r="L573" s="10"/>
      <c r="M573" s="10"/>
    </row>
    <row r="574" customFormat="false" ht="15" hidden="false" customHeight="false" outlineLevel="0" collapsed="false">
      <c r="A574" s="9"/>
      <c r="B574" s="10"/>
      <c r="C574" s="11" t="str">
        <f aca="false">IF(B574="","",IFERROR(INDEX('Câu hỏi'!$D$2:$D$21,MATCH(B574,'Câu hỏi'!$A$2:$A$21,0)),"Mã không có"))</f>
        <v/>
      </c>
      <c r="D574" s="10"/>
      <c r="E574" s="10"/>
      <c r="F574" s="10"/>
      <c r="G574" s="10"/>
      <c r="H574" s="10"/>
      <c r="I574" s="10"/>
      <c r="J574" s="10"/>
      <c r="K574" s="10"/>
      <c r="L574" s="10"/>
      <c r="M574" s="10"/>
    </row>
    <row r="575" customFormat="false" ht="15" hidden="false" customHeight="false" outlineLevel="0" collapsed="false">
      <c r="A575" s="9"/>
      <c r="B575" s="10"/>
      <c r="C575" s="11" t="str">
        <f aca="false">IF(B575="","",IFERROR(INDEX('Câu hỏi'!$D$2:$D$21,MATCH(B575,'Câu hỏi'!$A$2:$A$21,0)),"Mã không có"))</f>
        <v/>
      </c>
      <c r="D575" s="10"/>
      <c r="E575" s="10"/>
      <c r="F575" s="10"/>
      <c r="G575" s="10"/>
      <c r="H575" s="10"/>
      <c r="I575" s="10"/>
      <c r="J575" s="10"/>
      <c r="K575" s="10"/>
      <c r="L575" s="10"/>
      <c r="M575" s="10"/>
    </row>
    <row r="576" customFormat="false" ht="15" hidden="false" customHeight="false" outlineLevel="0" collapsed="false">
      <c r="A576" s="9"/>
      <c r="B576" s="10"/>
      <c r="C576" s="11" t="str">
        <f aca="false">IF(B576="","",IFERROR(INDEX('Câu hỏi'!$D$2:$D$21,MATCH(B576,'Câu hỏi'!$A$2:$A$21,0)),"Mã không có"))</f>
        <v/>
      </c>
      <c r="D576" s="10"/>
      <c r="E576" s="10"/>
      <c r="F576" s="10"/>
      <c r="G576" s="10"/>
      <c r="H576" s="10"/>
      <c r="I576" s="10"/>
      <c r="J576" s="10"/>
      <c r="K576" s="10"/>
      <c r="L576" s="10"/>
      <c r="M576" s="10"/>
    </row>
    <row r="577" customFormat="false" ht="15" hidden="false" customHeight="false" outlineLevel="0" collapsed="false">
      <c r="A577" s="9"/>
      <c r="B577" s="10"/>
      <c r="C577" s="11" t="str">
        <f aca="false">IF(B577="","",IFERROR(INDEX('Câu hỏi'!$D$2:$D$21,MATCH(B577,'Câu hỏi'!$A$2:$A$21,0)),"Mã không có"))</f>
        <v/>
      </c>
      <c r="D577" s="10"/>
      <c r="E577" s="10"/>
      <c r="F577" s="10"/>
      <c r="G577" s="10"/>
      <c r="H577" s="10"/>
      <c r="I577" s="10"/>
      <c r="J577" s="10"/>
      <c r="K577" s="10"/>
      <c r="L577" s="10"/>
      <c r="M577" s="10"/>
    </row>
    <row r="578" customFormat="false" ht="15" hidden="false" customHeight="false" outlineLevel="0" collapsed="false">
      <c r="A578" s="9"/>
      <c r="B578" s="10"/>
      <c r="C578" s="11" t="str">
        <f aca="false">IF(B578="","",IFERROR(INDEX('Câu hỏi'!$D$2:$D$21,MATCH(B578,'Câu hỏi'!$A$2:$A$21,0)),"Mã không có"))</f>
        <v/>
      </c>
      <c r="D578" s="10"/>
      <c r="E578" s="10"/>
      <c r="F578" s="10"/>
      <c r="G578" s="10"/>
      <c r="H578" s="10"/>
      <c r="I578" s="10"/>
      <c r="J578" s="10"/>
      <c r="K578" s="10"/>
      <c r="L578" s="10"/>
      <c r="M578" s="10"/>
    </row>
    <row r="579" customFormat="false" ht="15" hidden="false" customHeight="false" outlineLevel="0" collapsed="false">
      <c r="A579" s="9"/>
      <c r="B579" s="10"/>
      <c r="C579" s="11" t="str">
        <f aca="false">IF(B579="","",IFERROR(INDEX('Câu hỏi'!$D$2:$D$21,MATCH(B579,'Câu hỏi'!$A$2:$A$21,0)),"Mã không có"))</f>
        <v/>
      </c>
      <c r="D579" s="10"/>
      <c r="E579" s="10"/>
      <c r="F579" s="10"/>
      <c r="G579" s="10"/>
      <c r="H579" s="10"/>
      <c r="I579" s="10"/>
      <c r="J579" s="10"/>
      <c r="K579" s="10"/>
      <c r="L579" s="10"/>
      <c r="M579" s="10"/>
    </row>
    <row r="580" customFormat="false" ht="15" hidden="false" customHeight="false" outlineLevel="0" collapsed="false">
      <c r="A580" s="9"/>
      <c r="B580" s="10"/>
      <c r="C580" s="11" t="str">
        <f aca="false">IF(B580="","",IFERROR(INDEX('Câu hỏi'!$D$2:$D$21,MATCH(B580,'Câu hỏi'!$A$2:$A$21,0)),"Mã không có"))</f>
        <v/>
      </c>
      <c r="D580" s="10"/>
      <c r="E580" s="10"/>
      <c r="F580" s="10"/>
      <c r="G580" s="10"/>
      <c r="H580" s="10"/>
      <c r="I580" s="10"/>
      <c r="J580" s="10"/>
      <c r="K580" s="10"/>
      <c r="L580" s="10"/>
      <c r="M580" s="10"/>
    </row>
    <row r="581" customFormat="false" ht="15" hidden="false" customHeight="false" outlineLevel="0" collapsed="false">
      <c r="A581" s="9"/>
      <c r="B581" s="10"/>
      <c r="C581" s="11" t="str">
        <f aca="false">IF(B581="","",IFERROR(INDEX('Câu hỏi'!$D$2:$D$21,MATCH(B581,'Câu hỏi'!$A$2:$A$21,0)),"Mã không có"))</f>
        <v/>
      </c>
      <c r="D581" s="10"/>
      <c r="E581" s="10"/>
      <c r="F581" s="10"/>
      <c r="G581" s="10"/>
      <c r="H581" s="10"/>
      <c r="I581" s="10"/>
      <c r="J581" s="10"/>
      <c r="K581" s="10"/>
      <c r="L581" s="10"/>
      <c r="M581" s="10"/>
    </row>
    <row r="582" customFormat="false" ht="15" hidden="false" customHeight="false" outlineLevel="0" collapsed="false">
      <c r="A582" s="9"/>
      <c r="B582" s="10"/>
      <c r="C582" s="11" t="str">
        <f aca="false">IF(B582="","",IFERROR(INDEX('Câu hỏi'!$D$2:$D$21,MATCH(B582,'Câu hỏi'!$A$2:$A$21,0)),"Mã không có"))</f>
        <v/>
      </c>
      <c r="D582" s="10"/>
      <c r="E582" s="10"/>
      <c r="F582" s="10"/>
      <c r="G582" s="10"/>
      <c r="H582" s="10"/>
      <c r="I582" s="10"/>
      <c r="J582" s="10"/>
      <c r="K582" s="10"/>
      <c r="L582" s="10"/>
      <c r="M582" s="10"/>
    </row>
    <row r="583" customFormat="false" ht="15" hidden="false" customHeight="false" outlineLevel="0" collapsed="false">
      <c r="A583" s="9"/>
      <c r="B583" s="10"/>
      <c r="C583" s="11" t="str">
        <f aca="false">IF(B583="","",IFERROR(INDEX('Câu hỏi'!$D$2:$D$21,MATCH(B583,'Câu hỏi'!$A$2:$A$21,0)),"Mã không có"))</f>
        <v/>
      </c>
      <c r="D583" s="10"/>
      <c r="E583" s="10"/>
      <c r="F583" s="10"/>
      <c r="G583" s="10"/>
      <c r="H583" s="10"/>
      <c r="I583" s="10"/>
      <c r="J583" s="10"/>
      <c r="K583" s="10"/>
      <c r="L583" s="10"/>
      <c r="M583" s="10"/>
    </row>
    <row r="584" customFormat="false" ht="15" hidden="false" customHeight="false" outlineLevel="0" collapsed="false">
      <c r="A584" s="9"/>
      <c r="B584" s="10"/>
      <c r="C584" s="11" t="str">
        <f aca="false">IF(B584="","",IFERROR(INDEX('Câu hỏi'!$D$2:$D$21,MATCH(B584,'Câu hỏi'!$A$2:$A$21,0)),"Mã không có"))</f>
        <v/>
      </c>
      <c r="D584" s="10"/>
      <c r="E584" s="10"/>
      <c r="F584" s="10"/>
      <c r="G584" s="10"/>
      <c r="H584" s="10"/>
      <c r="I584" s="10"/>
      <c r="J584" s="10"/>
      <c r="K584" s="10"/>
      <c r="L584" s="10"/>
      <c r="M584" s="10"/>
    </row>
    <row r="585" customFormat="false" ht="15" hidden="false" customHeight="false" outlineLevel="0" collapsed="false">
      <c r="A585" s="9"/>
      <c r="B585" s="10"/>
      <c r="C585" s="11" t="str">
        <f aca="false">IF(B585="","",IFERROR(INDEX('Câu hỏi'!$D$2:$D$21,MATCH(B585,'Câu hỏi'!$A$2:$A$21,0)),"Mã không có"))</f>
        <v/>
      </c>
      <c r="D585" s="10"/>
      <c r="E585" s="10"/>
      <c r="F585" s="10"/>
      <c r="G585" s="10"/>
      <c r="H585" s="10"/>
      <c r="I585" s="10"/>
      <c r="J585" s="10"/>
      <c r="K585" s="10"/>
      <c r="L585" s="10"/>
      <c r="M585" s="10"/>
    </row>
    <row r="586" customFormat="false" ht="15" hidden="false" customHeight="false" outlineLevel="0" collapsed="false">
      <c r="A586" s="9"/>
      <c r="B586" s="10"/>
      <c r="C586" s="11" t="str">
        <f aca="false">IF(B586="","",IFERROR(INDEX('Câu hỏi'!$D$2:$D$21,MATCH(B586,'Câu hỏi'!$A$2:$A$21,0)),"Mã không có"))</f>
        <v/>
      </c>
      <c r="D586" s="10"/>
      <c r="E586" s="10"/>
      <c r="F586" s="10"/>
      <c r="G586" s="10"/>
      <c r="H586" s="10"/>
      <c r="I586" s="10"/>
      <c r="J586" s="10"/>
      <c r="K586" s="10"/>
      <c r="L586" s="10"/>
      <c r="M586" s="10"/>
    </row>
    <row r="587" customFormat="false" ht="15" hidden="false" customHeight="false" outlineLevel="0" collapsed="false">
      <c r="A587" s="9"/>
      <c r="B587" s="10"/>
      <c r="C587" s="11" t="str">
        <f aca="false">IF(B587="","",IFERROR(INDEX('Câu hỏi'!$D$2:$D$21,MATCH(B587,'Câu hỏi'!$A$2:$A$21,0)),"Mã không có"))</f>
        <v/>
      </c>
      <c r="D587" s="10"/>
      <c r="E587" s="10"/>
      <c r="F587" s="10"/>
      <c r="G587" s="10"/>
      <c r="H587" s="10"/>
      <c r="I587" s="10"/>
      <c r="J587" s="10"/>
      <c r="K587" s="10"/>
      <c r="L587" s="10"/>
      <c r="M587" s="10"/>
    </row>
    <row r="588" customFormat="false" ht="15" hidden="false" customHeight="false" outlineLevel="0" collapsed="false">
      <c r="A588" s="9"/>
      <c r="B588" s="10"/>
      <c r="C588" s="11" t="str">
        <f aca="false">IF(B588="","",IFERROR(INDEX('Câu hỏi'!$D$2:$D$21,MATCH(B588,'Câu hỏi'!$A$2:$A$21,0)),"Mã không có"))</f>
        <v/>
      </c>
      <c r="D588" s="10"/>
      <c r="E588" s="10"/>
      <c r="F588" s="10"/>
      <c r="G588" s="10"/>
      <c r="H588" s="10"/>
      <c r="I588" s="10"/>
      <c r="J588" s="10"/>
      <c r="K588" s="10"/>
      <c r="L588" s="10"/>
      <c r="M588" s="10"/>
    </row>
    <row r="589" customFormat="false" ht="15" hidden="false" customHeight="false" outlineLevel="0" collapsed="false">
      <c r="A589" s="9"/>
      <c r="B589" s="10"/>
      <c r="C589" s="11" t="str">
        <f aca="false">IF(B589="","",IFERROR(INDEX('Câu hỏi'!$D$2:$D$21,MATCH(B589,'Câu hỏi'!$A$2:$A$21,0)),"Mã không có"))</f>
        <v/>
      </c>
      <c r="D589" s="10"/>
      <c r="E589" s="10"/>
      <c r="F589" s="10"/>
      <c r="G589" s="10"/>
      <c r="H589" s="10"/>
      <c r="I589" s="10"/>
      <c r="J589" s="10"/>
      <c r="K589" s="10"/>
      <c r="L589" s="10"/>
      <c r="M589" s="10"/>
    </row>
    <row r="590" customFormat="false" ht="15" hidden="false" customHeight="false" outlineLevel="0" collapsed="false">
      <c r="A590" s="9"/>
      <c r="B590" s="10"/>
      <c r="C590" s="11" t="str">
        <f aca="false">IF(B590="","",IFERROR(INDEX('Câu hỏi'!$D$2:$D$21,MATCH(B590,'Câu hỏi'!$A$2:$A$21,0)),"Mã không có"))</f>
        <v/>
      </c>
      <c r="D590" s="10"/>
      <c r="E590" s="10"/>
      <c r="F590" s="10"/>
      <c r="G590" s="10"/>
      <c r="H590" s="10"/>
      <c r="I590" s="10"/>
      <c r="J590" s="10"/>
      <c r="K590" s="10"/>
      <c r="L590" s="10"/>
      <c r="M590" s="10"/>
    </row>
    <row r="591" customFormat="false" ht="15" hidden="false" customHeight="false" outlineLevel="0" collapsed="false">
      <c r="A591" s="9"/>
      <c r="B591" s="10"/>
      <c r="C591" s="11" t="str">
        <f aca="false">IF(B591="","",IFERROR(INDEX('Câu hỏi'!$D$2:$D$21,MATCH(B591,'Câu hỏi'!$A$2:$A$21,0)),"Mã không có"))</f>
        <v/>
      </c>
      <c r="D591" s="10"/>
      <c r="E591" s="10"/>
      <c r="F591" s="10"/>
      <c r="G591" s="10"/>
      <c r="H591" s="10"/>
      <c r="I591" s="10"/>
      <c r="J591" s="10"/>
      <c r="K591" s="10"/>
      <c r="L591" s="10"/>
      <c r="M591" s="10"/>
    </row>
    <row r="592" customFormat="false" ht="15" hidden="false" customHeight="false" outlineLevel="0" collapsed="false">
      <c r="A592" s="9"/>
      <c r="B592" s="10"/>
      <c r="C592" s="11" t="str">
        <f aca="false">IF(B592="","",IFERROR(INDEX('Câu hỏi'!$D$2:$D$21,MATCH(B592,'Câu hỏi'!$A$2:$A$21,0)),"Mã không có"))</f>
        <v/>
      </c>
      <c r="D592" s="10"/>
      <c r="E592" s="10"/>
      <c r="F592" s="10"/>
      <c r="G592" s="10"/>
      <c r="H592" s="10"/>
      <c r="I592" s="10"/>
      <c r="J592" s="10"/>
      <c r="K592" s="10"/>
      <c r="L592" s="10"/>
      <c r="M592" s="10"/>
    </row>
    <row r="593" customFormat="false" ht="15" hidden="false" customHeight="false" outlineLevel="0" collapsed="false">
      <c r="A593" s="9"/>
      <c r="B593" s="10"/>
      <c r="C593" s="11" t="str">
        <f aca="false">IF(B593="","",IFERROR(INDEX('Câu hỏi'!$D$2:$D$21,MATCH(B593,'Câu hỏi'!$A$2:$A$21,0)),"Mã không có"))</f>
        <v/>
      </c>
      <c r="D593" s="10"/>
      <c r="E593" s="10"/>
      <c r="F593" s="10"/>
      <c r="G593" s="10"/>
      <c r="H593" s="10"/>
      <c r="I593" s="10"/>
      <c r="J593" s="10"/>
      <c r="K593" s="10"/>
      <c r="L593" s="10"/>
      <c r="M593" s="10"/>
    </row>
    <row r="594" customFormat="false" ht="15" hidden="false" customHeight="false" outlineLevel="0" collapsed="false">
      <c r="A594" s="9"/>
      <c r="B594" s="10"/>
      <c r="C594" s="11" t="str">
        <f aca="false">IF(B594="","",IFERROR(INDEX('Câu hỏi'!$D$2:$D$21,MATCH(B594,'Câu hỏi'!$A$2:$A$21,0)),"Mã không có"))</f>
        <v/>
      </c>
      <c r="D594" s="10"/>
      <c r="E594" s="10"/>
      <c r="F594" s="10"/>
      <c r="G594" s="10"/>
      <c r="H594" s="10"/>
      <c r="I594" s="10"/>
      <c r="J594" s="10"/>
      <c r="K594" s="10"/>
      <c r="L594" s="10"/>
      <c r="M594" s="10"/>
    </row>
    <row r="595" customFormat="false" ht="15" hidden="false" customHeight="false" outlineLevel="0" collapsed="false">
      <c r="A595" s="9"/>
      <c r="B595" s="10"/>
      <c r="C595" s="11" t="str">
        <f aca="false">IF(B595="","",IFERROR(INDEX('Câu hỏi'!$D$2:$D$21,MATCH(B595,'Câu hỏi'!$A$2:$A$21,0)),"Mã không có"))</f>
        <v/>
      </c>
      <c r="D595" s="10"/>
      <c r="E595" s="10"/>
      <c r="F595" s="10"/>
      <c r="G595" s="10"/>
      <c r="H595" s="10"/>
      <c r="I595" s="10"/>
      <c r="J595" s="10"/>
      <c r="K595" s="10"/>
      <c r="L595" s="10"/>
      <c r="M595" s="10"/>
    </row>
    <row r="596" customFormat="false" ht="15" hidden="false" customHeight="false" outlineLevel="0" collapsed="false">
      <c r="A596" s="9"/>
      <c r="B596" s="10"/>
      <c r="C596" s="11" t="str">
        <f aca="false">IF(B596="","",IFERROR(INDEX('Câu hỏi'!$D$2:$D$21,MATCH(B596,'Câu hỏi'!$A$2:$A$21,0)),"Mã không có"))</f>
        <v/>
      </c>
      <c r="D596" s="10"/>
      <c r="E596" s="10"/>
      <c r="F596" s="10"/>
      <c r="G596" s="10"/>
      <c r="H596" s="10"/>
      <c r="I596" s="10"/>
      <c r="J596" s="10"/>
      <c r="K596" s="10"/>
      <c r="L596" s="10"/>
      <c r="M596" s="10"/>
    </row>
    <row r="597" customFormat="false" ht="15" hidden="false" customHeight="false" outlineLevel="0" collapsed="false">
      <c r="A597" s="9"/>
      <c r="B597" s="10"/>
      <c r="C597" s="11" t="str">
        <f aca="false">IF(B597="","",IFERROR(INDEX('Câu hỏi'!$D$2:$D$21,MATCH(B597,'Câu hỏi'!$A$2:$A$21,0)),"Mã không có"))</f>
        <v/>
      </c>
      <c r="D597" s="10"/>
      <c r="E597" s="10"/>
      <c r="F597" s="10"/>
      <c r="G597" s="10"/>
      <c r="H597" s="10"/>
      <c r="I597" s="10"/>
      <c r="J597" s="10"/>
      <c r="K597" s="10"/>
      <c r="L597" s="10"/>
      <c r="M597" s="10"/>
    </row>
    <row r="598" customFormat="false" ht="15" hidden="false" customHeight="false" outlineLevel="0" collapsed="false">
      <c r="A598" s="9"/>
      <c r="B598" s="10"/>
      <c r="C598" s="11" t="str">
        <f aca="false">IF(B598="","",IFERROR(INDEX('Câu hỏi'!$D$2:$D$21,MATCH(B598,'Câu hỏi'!$A$2:$A$21,0)),"Mã không có"))</f>
        <v/>
      </c>
      <c r="D598" s="10"/>
      <c r="E598" s="10"/>
      <c r="F598" s="10"/>
      <c r="G598" s="10"/>
      <c r="H598" s="10"/>
      <c r="I598" s="10"/>
      <c r="J598" s="10"/>
      <c r="K598" s="10"/>
      <c r="L598" s="10"/>
      <c r="M598" s="10"/>
    </row>
    <row r="599" customFormat="false" ht="15" hidden="false" customHeight="false" outlineLevel="0" collapsed="false">
      <c r="A599" s="9"/>
      <c r="B599" s="10"/>
      <c r="C599" s="11" t="str">
        <f aca="false">IF(B599="","",IFERROR(INDEX('Câu hỏi'!$D$2:$D$21,MATCH(B599,'Câu hỏi'!$A$2:$A$21,0)),"Mã không có"))</f>
        <v/>
      </c>
      <c r="D599" s="10"/>
      <c r="E599" s="10"/>
      <c r="F599" s="10"/>
      <c r="G599" s="10"/>
      <c r="H599" s="10"/>
      <c r="I599" s="10"/>
      <c r="J599" s="10"/>
      <c r="K599" s="10"/>
      <c r="L599" s="10"/>
      <c r="M599" s="10"/>
    </row>
    <row r="600" customFormat="false" ht="15" hidden="false" customHeight="false" outlineLevel="0" collapsed="false">
      <c r="A600" s="9"/>
      <c r="B600" s="10"/>
      <c r="C600" s="11" t="str">
        <f aca="false">IF(B600="","",IFERROR(INDEX('Câu hỏi'!$D$2:$D$21,MATCH(B600,'Câu hỏi'!$A$2:$A$21,0)),"Mã không có"))</f>
        <v/>
      </c>
      <c r="D600" s="10"/>
      <c r="E600" s="10"/>
      <c r="F600" s="10"/>
      <c r="G600" s="10"/>
      <c r="H600" s="10"/>
      <c r="I600" s="10"/>
      <c r="J600" s="10"/>
      <c r="K600" s="10"/>
      <c r="L600" s="10"/>
      <c r="M600" s="10"/>
    </row>
    <row r="601" customFormat="false" ht="15" hidden="false" customHeight="false" outlineLevel="0" collapsed="false">
      <c r="A601" s="9"/>
      <c r="B601" s="10"/>
      <c r="C601" s="11" t="str">
        <f aca="false">IF(B601="","",IFERROR(INDEX('Câu hỏi'!$D$2:$D$21,MATCH(B601,'Câu hỏi'!$A$2:$A$21,0)),"Mã không có"))</f>
        <v/>
      </c>
      <c r="D601" s="10"/>
      <c r="E601" s="10"/>
      <c r="F601" s="10"/>
      <c r="G601" s="10"/>
      <c r="H601" s="10"/>
      <c r="I601" s="10"/>
      <c r="J601" s="10"/>
      <c r="K601" s="10"/>
      <c r="L601" s="10"/>
      <c r="M601" s="10"/>
    </row>
  </sheetData>
  <dataValidations count="5">
    <dataValidation allowBlank="true" errorStyle="stop" operator="between" showDropDown="false" showErrorMessage="false" showInputMessage="false" sqref="B2:B601" type="list">
      <formula1>'Câu hỏi'!$A$2:$A$21</formula1>
      <formula2>0</formula2>
    </dataValidation>
    <dataValidation allowBlank="true" errorStyle="stop" operator="between" showDropDown="false" showErrorMessage="false" showInputMessage="false" sqref="D2:D601" type="list">
      <formula1>"ChatGPT,Perplexity,Gemini,Google AI Overview,Copilot"</formula1>
      <formula2>0</formula2>
    </dataValidation>
    <dataValidation allowBlank="true" errorStyle="stop" operator="between" showDropDown="false" showErrorMessage="false" showInputMessage="false" sqref="E2:E601" type="whole">
      <formula1>1</formula1>
      <formula2>5</formula2>
    </dataValidation>
    <dataValidation allowBlank="true" errorStyle="stop" operator="between" showDropDown="false" showErrorMessage="false" showInputMessage="false" sqref="F2:H601" type="list">
      <formula1>"Có,Không"</formula1>
      <formula2>0</formula2>
    </dataValidation>
    <dataValidation allowBlank="true" error="Ghi tháng dạng 2026-11" errorStyle="stop" operator="equal" showDropDown="false" showErrorMessage="true" showInputMessage="false" sqref="A2:A601" type="textLength">
      <formula1>7</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8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58"/>
    <col collapsed="false" customWidth="true" hidden="false" outlineLevel="0" max="5" min="3" style="0" width="12"/>
    <col collapsed="false" customWidth="true" hidden="false" outlineLevel="0" max="6" min="6" style="0" width="16"/>
    <col collapsed="false" customWidth="true" hidden="false" outlineLevel="0" max="7" min="7" style="0" width="12"/>
    <col collapsed="false" customWidth="true" hidden="false" outlineLevel="0" max="8" min="8" style="0" width="10"/>
  </cols>
  <sheetData>
    <row r="1" customFormat="false" ht="16.15" hidden="false" customHeight="false" outlineLevel="0" collapsed="false">
      <c r="A1" s="1" t="s">
        <v>119</v>
      </c>
    </row>
    <row r="2" customFormat="false" ht="15" hidden="false" customHeight="false" outlineLevel="0" collapsed="false">
      <c r="A2" s="8" t="s">
        <v>120</v>
      </c>
    </row>
    <row r="4" customFormat="false" ht="15" hidden="false" customHeight="false" outlineLevel="0" collapsed="false">
      <c r="A4" s="12" t="s">
        <v>121</v>
      </c>
    </row>
    <row r="5" customFormat="false" ht="26.85" hidden="false" customHeight="false" outlineLevel="0" collapsed="false">
      <c r="A5" s="13" t="s">
        <v>19</v>
      </c>
      <c r="B5" s="13" t="s">
        <v>122</v>
      </c>
      <c r="C5" s="13" t="s">
        <v>123</v>
      </c>
      <c r="D5" s="13" t="s">
        <v>35</v>
      </c>
      <c r="E5" s="13" t="s">
        <v>124</v>
      </c>
      <c r="F5" s="13" t="s">
        <v>125</v>
      </c>
      <c r="G5" s="13" t="s">
        <v>126</v>
      </c>
      <c r="H5" s="13" t="s">
        <v>127</v>
      </c>
    </row>
    <row r="6" customFormat="false" ht="15" hidden="false" customHeight="false" outlineLevel="0" collapsed="false">
      <c r="A6" s="14" t="s">
        <v>128</v>
      </c>
      <c r="B6" s="15" t="n">
        <f aca="false">COUNTIFS('Theo dõi'!$A$2:$A$601,$A6,'Theo dõi'!$D$2:$D$601,"&lt;&gt;")-COUNTIFS('Theo dõi'!$A$2:$A$601,$A6,'Theo dõi'!$D$2:$D$601,"&lt;&gt;",'Theo dõi'!$B$2:$B$601,"Q18")-COUNTIFS('Theo dõi'!$A$2:$A$601,$A6,'Theo dõi'!$D$2:$D$601,"&lt;&gt;",'Theo dõi'!$B$2:$B$601,"Q19")-COUNTIFS('Theo dõi'!$A$2:$A$601,$A6,'Theo dõi'!$D$2:$D$601,"&lt;&gt;",'Theo dõi'!$B$2:$B$601,"Q20")</f>
        <v>0</v>
      </c>
      <c r="C6" s="16" t="str">
        <f aca="false">IF((COUNTIFS('Theo dõi'!$A$2:$A$601,$A6,'Theo dõi'!$D$2:$D$601,"ChatGPT")-COUNTIFS('Theo dõi'!$A$2:$A$601,$A6,'Theo dõi'!$D$2:$D$601,"ChatGPT",'Theo dõi'!$B$2:$B$601,"Q18")-COUNTIFS('Theo dõi'!$A$2:$A$601,$A6,'Theo dõi'!$D$2:$D$601,"ChatGPT",'Theo dõi'!$B$2:$B$601,"Q19")-COUNTIFS('Theo dõi'!$A$2:$A$601,$A6,'Theo dõi'!$D$2:$D$601,"ChatGPT",'Theo dõi'!$B$2:$B$601,"Q20"))=0,"",(COUNTIFS('Theo dõi'!$A$2:$A$601,$A6,'Theo dõi'!$D$2:$D$601,"ChatGPT",'Theo dõi'!$F$2:$F$601,"Có")-COUNTIFS('Theo dõi'!$A$2:$A$601,$A6,'Theo dõi'!$D$2:$D$601,"ChatGPT",'Theo dõi'!$F$2:$F$601,"Có",'Theo dõi'!$B$2:$B$601,"Q18")-COUNTIFS('Theo dõi'!$A$2:$A$601,$A6,'Theo dõi'!$D$2:$D$601,"ChatGPT",'Theo dõi'!$F$2:$F$601,"Có",'Theo dõi'!$B$2:$B$601,"Q19")-COUNTIFS('Theo dõi'!$A$2:$A$601,$A6,'Theo dõi'!$D$2:$D$601,"ChatGPT",'Theo dõi'!$F$2:$F$601,"Có",'Theo dõi'!$B$2:$B$601,"Q20"))/(COUNTIFS('Theo dõi'!$A$2:$A$601,$A6,'Theo dõi'!$D$2:$D$601,"ChatGPT")-COUNTIFS('Theo dõi'!$A$2:$A$601,$A6,'Theo dõi'!$D$2:$D$601,"ChatGPT",'Theo dõi'!$B$2:$B$601,"Q18")-COUNTIFS('Theo dõi'!$A$2:$A$601,$A6,'Theo dõi'!$D$2:$D$601,"ChatGPT",'Theo dõi'!$B$2:$B$601,"Q19")-COUNTIFS('Theo dõi'!$A$2:$A$601,$A6,'Theo dõi'!$D$2:$D$601,"ChatGPT",'Theo dõi'!$B$2:$B$601,"Q20")))</f>
        <v/>
      </c>
      <c r="D6" s="16" t="str">
        <f aca="false">IF((COUNTIFS('Theo dõi'!$A$2:$A$601,$A6,'Theo dõi'!$D$2:$D$601,"Perplexity")-COUNTIFS('Theo dõi'!$A$2:$A$601,$A6,'Theo dõi'!$D$2:$D$601,"Perplexity",'Theo dõi'!$B$2:$B$601,"Q18")-COUNTIFS('Theo dõi'!$A$2:$A$601,$A6,'Theo dõi'!$D$2:$D$601,"Perplexity",'Theo dõi'!$B$2:$B$601,"Q19")-COUNTIFS('Theo dõi'!$A$2:$A$601,$A6,'Theo dõi'!$D$2:$D$601,"Perplexity",'Theo dõi'!$B$2:$B$601,"Q20"))=0,"",(COUNTIFS('Theo dõi'!$A$2:$A$601,$A6,'Theo dõi'!$D$2:$D$601,"Perplexity",'Theo dõi'!$F$2:$F$601,"Có")-COUNTIFS('Theo dõi'!$A$2:$A$601,$A6,'Theo dõi'!$D$2:$D$601,"Perplexity",'Theo dõi'!$F$2:$F$601,"Có",'Theo dõi'!$B$2:$B$601,"Q18")-COUNTIFS('Theo dõi'!$A$2:$A$601,$A6,'Theo dõi'!$D$2:$D$601,"Perplexity",'Theo dõi'!$F$2:$F$601,"Có",'Theo dõi'!$B$2:$B$601,"Q19")-COUNTIFS('Theo dõi'!$A$2:$A$601,$A6,'Theo dõi'!$D$2:$D$601,"Perplexity",'Theo dõi'!$F$2:$F$601,"Có",'Theo dõi'!$B$2:$B$601,"Q20"))/(COUNTIFS('Theo dõi'!$A$2:$A$601,$A6,'Theo dõi'!$D$2:$D$601,"Perplexity")-COUNTIFS('Theo dõi'!$A$2:$A$601,$A6,'Theo dõi'!$D$2:$D$601,"Perplexity",'Theo dõi'!$B$2:$B$601,"Q18")-COUNTIFS('Theo dõi'!$A$2:$A$601,$A6,'Theo dõi'!$D$2:$D$601,"Perplexity",'Theo dõi'!$B$2:$B$601,"Q19")-COUNTIFS('Theo dõi'!$A$2:$A$601,$A6,'Theo dõi'!$D$2:$D$601,"Perplexity",'Theo dõi'!$B$2:$B$601,"Q20")))</f>
        <v/>
      </c>
      <c r="E6" s="16" t="str">
        <f aca="false">IF((COUNTIFS('Theo dõi'!$A$2:$A$601,$A6,'Theo dõi'!$D$2:$D$601,"Gemini")-COUNTIFS('Theo dõi'!$A$2:$A$601,$A6,'Theo dõi'!$D$2:$D$601,"Gemini",'Theo dõi'!$B$2:$B$601,"Q18")-COUNTIFS('Theo dõi'!$A$2:$A$601,$A6,'Theo dõi'!$D$2:$D$601,"Gemini",'Theo dõi'!$B$2:$B$601,"Q19")-COUNTIFS('Theo dõi'!$A$2:$A$601,$A6,'Theo dõi'!$D$2:$D$601,"Gemini",'Theo dõi'!$B$2:$B$601,"Q20"))=0,"",(COUNTIFS('Theo dõi'!$A$2:$A$601,$A6,'Theo dõi'!$D$2:$D$601,"Gemini",'Theo dõi'!$F$2:$F$601,"Có")-COUNTIFS('Theo dõi'!$A$2:$A$601,$A6,'Theo dõi'!$D$2:$D$601,"Gemini",'Theo dõi'!$F$2:$F$601,"Có",'Theo dõi'!$B$2:$B$601,"Q18")-COUNTIFS('Theo dõi'!$A$2:$A$601,$A6,'Theo dõi'!$D$2:$D$601,"Gemini",'Theo dõi'!$F$2:$F$601,"Có",'Theo dõi'!$B$2:$B$601,"Q19")-COUNTIFS('Theo dõi'!$A$2:$A$601,$A6,'Theo dõi'!$D$2:$D$601,"Gemini",'Theo dõi'!$F$2:$F$601,"Có",'Theo dõi'!$B$2:$B$601,"Q20"))/(COUNTIFS('Theo dõi'!$A$2:$A$601,$A6,'Theo dõi'!$D$2:$D$601,"Gemini")-COUNTIFS('Theo dõi'!$A$2:$A$601,$A6,'Theo dõi'!$D$2:$D$601,"Gemini",'Theo dõi'!$B$2:$B$601,"Q18")-COUNTIFS('Theo dõi'!$A$2:$A$601,$A6,'Theo dõi'!$D$2:$D$601,"Gemini",'Theo dõi'!$B$2:$B$601,"Q19")-COUNTIFS('Theo dõi'!$A$2:$A$601,$A6,'Theo dõi'!$D$2:$D$601,"Gemini",'Theo dõi'!$B$2:$B$601,"Q20")))</f>
        <v/>
      </c>
      <c r="F6" s="16" t="str">
        <f aca="false">IF((COUNTIFS('Theo dõi'!$A$2:$A$601,$A6,'Theo dõi'!$D$2:$D$601,"Google AI Overview")-COUNTIFS('Theo dõi'!$A$2:$A$601,$A6,'Theo dõi'!$D$2:$D$601,"Google AI Overview",'Theo dõi'!$B$2:$B$601,"Q18")-COUNTIFS('Theo dõi'!$A$2:$A$601,$A6,'Theo dõi'!$D$2:$D$601,"Google AI Overview",'Theo dõi'!$B$2:$B$601,"Q19")-COUNTIFS('Theo dõi'!$A$2:$A$601,$A6,'Theo dõi'!$D$2:$D$601,"Google AI Overview",'Theo dõi'!$B$2:$B$601,"Q20"))=0,"",(COUNTIFS('Theo dõi'!$A$2:$A$601,$A6,'Theo dõi'!$D$2:$D$601,"Google AI Overview",'Theo dõi'!$F$2:$F$601,"Có")-COUNTIFS('Theo dõi'!$A$2:$A$601,$A6,'Theo dõi'!$D$2:$D$601,"Google AI Overview",'Theo dõi'!$F$2:$F$601,"Có",'Theo dõi'!$B$2:$B$601,"Q18")-COUNTIFS('Theo dõi'!$A$2:$A$601,$A6,'Theo dõi'!$D$2:$D$601,"Google AI Overview",'Theo dõi'!$F$2:$F$601,"Có",'Theo dõi'!$B$2:$B$601,"Q19")-COUNTIFS('Theo dõi'!$A$2:$A$601,$A6,'Theo dõi'!$D$2:$D$601,"Google AI Overview",'Theo dõi'!$F$2:$F$601,"Có",'Theo dõi'!$B$2:$B$601,"Q20"))/(COUNTIFS('Theo dõi'!$A$2:$A$601,$A6,'Theo dõi'!$D$2:$D$601,"Google AI Overview")-COUNTIFS('Theo dõi'!$A$2:$A$601,$A6,'Theo dõi'!$D$2:$D$601,"Google AI Overview",'Theo dõi'!$B$2:$B$601,"Q18")-COUNTIFS('Theo dõi'!$A$2:$A$601,$A6,'Theo dõi'!$D$2:$D$601,"Google AI Overview",'Theo dõi'!$B$2:$B$601,"Q19")-COUNTIFS('Theo dõi'!$A$2:$A$601,$A6,'Theo dõi'!$D$2:$D$601,"Google AI Overview",'Theo dõi'!$B$2:$B$601,"Q20")))</f>
        <v/>
      </c>
      <c r="G6" s="16" t="str">
        <f aca="false">IF((COUNTIFS('Theo dõi'!$A$2:$A$601,$A6,'Theo dõi'!$D$2:$D$601,"Copilot")-COUNTIFS('Theo dõi'!$A$2:$A$601,$A6,'Theo dõi'!$D$2:$D$601,"Copilot",'Theo dõi'!$B$2:$B$601,"Q18")-COUNTIFS('Theo dõi'!$A$2:$A$601,$A6,'Theo dõi'!$D$2:$D$601,"Copilot",'Theo dõi'!$B$2:$B$601,"Q19")-COUNTIFS('Theo dõi'!$A$2:$A$601,$A6,'Theo dõi'!$D$2:$D$601,"Copilot",'Theo dõi'!$B$2:$B$601,"Q20"))=0,"",(COUNTIFS('Theo dõi'!$A$2:$A$601,$A6,'Theo dõi'!$D$2:$D$601,"Copilot",'Theo dõi'!$F$2:$F$601,"Có")-COUNTIFS('Theo dõi'!$A$2:$A$601,$A6,'Theo dõi'!$D$2:$D$601,"Copilot",'Theo dõi'!$F$2:$F$601,"Có",'Theo dõi'!$B$2:$B$601,"Q18")-COUNTIFS('Theo dõi'!$A$2:$A$601,$A6,'Theo dõi'!$D$2:$D$601,"Copilot",'Theo dõi'!$F$2:$F$601,"Có",'Theo dõi'!$B$2:$B$601,"Q19")-COUNTIFS('Theo dõi'!$A$2:$A$601,$A6,'Theo dõi'!$D$2:$D$601,"Copilot",'Theo dõi'!$F$2:$F$601,"Có",'Theo dõi'!$B$2:$B$601,"Q20"))/(COUNTIFS('Theo dõi'!$A$2:$A$601,$A6,'Theo dõi'!$D$2:$D$601,"Copilot")-COUNTIFS('Theo dõi'!$A$2:$A$601,$A6,'Theo dõi'!$D$2:$D$601,"Copilot",'Theo dõi'!$B$2:$B$601,"Q18")-COUNTIFS('Theo dõi'!$A$2:$A$601,$A6,'Theo dõi'!$D$2:$D$601,"Copilot",'Theo dõi'!$B$2:$B$601,"Q19")-COUNTIFS('Theo dõi'!$A$2:$A$601,$A6,'Theo dõi'!$D$2:$D$601,"Copilot",'Theo dõi'!$B$2:$B$601,"Q20")))</f>
        <v/>
      </c>
      <c r="H6" s="17" t="str">
        <f aca="false">IF((COUNTIFS('Theo dõi'!$A$2:$A$601,$A6,'Theo dõi'!$D$2:$D$601,"&lt;&gt;")-COUNTIFS('Theo dõi'!$A$2:$A$601,$A6,'Theo dõi'!$D$2:$D$601,"&lt;&gt;",'Theo dõi'!$B$2:$B$601,"Q18")-COUNTIFS('Theo dõi'!$A$2:$A$601,$A6,'Theo dõi'!$D$2:$D$601,"&lt;&gt;",'Theo dõi'!$B$2:$B$601,"Q19")-COUNTIFS('Theo dõi'!$A$2:$A$601,$A6,'Theo dõi'!$D$2:$D$601,"&lt;&gt;",'Theo dõi'!$B$2:$B$601,"Q20"))=0,"",(COUNTIFS('Theo dõi'!$A$2:$A$601,$A6,'Theo dõi'!$D$2:$D$601,"&lt;&gt;",'Theo dõi'!$F$2:$F$601,"Có")-COUNTIFS('Theo dõi'!$A$2:$A$601,$A6,'Theo dõi'!$D$2:$D$601,"&lt;&gt;",'Theo dõi'!$F$2:$F$601,"Có",'Theo dõi'!$B$2:$B$601,"Q18")-COUNTIFS('Theo dõi'!$A$2:$A$601,$A6,'Theo dõi'!$D$2:$D$601,"&lt;&gt;",'Theo dõi'!$F$2:$F$601,"Có",'Theo dõi'!$B$2:$B$601,"Q19")-COUNTIFS('Theo dõi'!$A$2:$A$601,$A6,'Theo dõi'!$D$2:$D$601,"&lt;&gt;",'Theo dõi'!$F$2:$F$601,"Có",'Theo dõi'!$B$2:$B$601,"Q20"))/(COUNTIFS('Theo dõi'!$A$2:$A$601,$A6,'Theo dõi'!$D$2:$D$601,"&lt;&gt;")-COUNTIFS('Theo dõi'!$A$2:$A$601,$A6,'Theo dõi'!$D$2:$D$601,"&lt;&gt;",'Theo dõi'!$B$2:$B$601,"Q18")-COUNTIFS('Theo dõi'!$A$2:$A$601,$A6,'Theo dõi'!$D$2:$D$601,"&lt;&gt;",'Theo dõi'!$B$2:$B$601,"Q19")-COUNTIFS('Theo dõi'!$A$2:$A$601,$A6,'Theo dõi'!$D$2:$D$601,"&lt;&gt;",'Theo dõi'!$B$2:$B$601,"Q20")))</f>
        <v/>
      </c>
    </row>
    <row r="7" customFormat="false" ht="15" hidden="false" customHeight="false" outlineLevel="0" collapsed="false">
      <c r="A7" s="14" t="s">
        <v>32</v>
      </c>
      <c r="B7" s="15" t="n">
        <f aca="false">COUNTIFS('Theo dõi'!$A$2:$A$601,$A7,'Theo dõi'!$D$2:$D$601,"&lt;&gt;")-COUNTIFS('Theo dõi'!$A$2:$A$601,$A7,'Theo dõi'!$D$2:$D$601,"&lt;&gt;",'Theo dõi'!$B$2:$B$601,"Q18")-COUNTIFS('Theo dõi'!$A$2:$A$601,$A7,'Theo dõi'!$D$2:$D$601,"&lt;&gt;",'Theo dõi'!$B$2:$B$601,"Q19")-COUNTIFS('Theo dõi'!$A$2:$A$601,$A7,'Theo dõi'!$D$2:$D$601,"&lt;&gt;",'Theo dõi'!$B$2:$B$601,"Q20")</f>
        <v>0</v>
      </c>
      <c r="C7" s="16" t="str">
        <f aca="false">IF((COUNTIFS('Theo dõi'!$A$2:$A$601,$A7,'Theo dõi'!$D$2:$D$601,"ChatGPT")-COUNTIFS('Theo dõi'!$A$2:$A$601,$A7,'Theo dõi'!$D$2:$D$601,"ChatGPT",'Theo dõi'!$B$2:$B$601,"Q18")-COUNTIFS('Theo dõi'!$A$2:$A$601,$A7,'Theo dõi'!$D$2:$D$601,"ChatGPT",'Theo dõi'!$B$2:$B$601,"Q19")-COUNTIFS('Theo dõi'!$A$2:$A$601,$A7,'Theo dõi'!$D$2:$D$601,"ChatGPT",'Theo dõi'!$B$2:$B$601,"Q20"))=0,"",(COUNTIFS('Theo dõi'!$A$2:$A$601,$A7,'Theo dõi'!$D$2:$D$601,"ChatGPT",'Theo dõi'!$F$2:$F$601,"Có")-COUNTIFS('Theo dõi'!$A$2:$A$601,$A7,'Theo dõi'!$D$2:$D$601,"ChatGPT",'Theo dõi'!$F$2:$F$601,"Có",'Theo dõi'!$B$2:$B$601,"Q18")-COUNTIFS('Theo dõi'!$A$2:$A$601,$A7,'Theo dõi'!$D$2:$D$601,"ChatGPT",'Theo dõi'!$F$2:$F$601,"Có",'Theo dõi'!$B$2:$B$601,"Q19")-COUNTIFS('Theo dõi'!$A$2:$A$601,$A7,'Theo dõi'!$D$2:$D$601,"ChatGPT",'Theo dõi'!$F$2:$F$601,"Có",'Theo dõi'!$B$2:$B$601,"Q20"))/(COUNTIFS('Theo dõi'!$A$2:$A$601,$A7,'Theo dõi'!$D$2:$D$601,"ChatGPT")-COUNTIFS('Theo dõi'!$A$2:$A$601,$A7,'Theo dõi'!$D$2:$D$601,"ChatGPT",'Theo dõi'!$B$2:$B$601,"Q18")-COUNTIFS('Theo dõi'!$A$2:$A$601,$A7,'Theo dõi'!$D$2:$D$601,"ChatGPT",'Theo dõi'!$B$2:$B$601,"Q19")-COUNTIFS('Theo dõi'!$A$2:$A$601,$A7,'Theo dõi'!$D$2:$D$601,"ChatGPT",'Theo dõi'!$B$2:$B$601,"Q20")))</f>
        <v/>
      </c>
      <c r="D7" s="16" t="str">
        <f aca="false">IF((COUNTIFS('Theo dõi'!$A$2:$A$601,$A7,'Theo dõi'!$D$2:$D$601,"Perplexity")-COUNTIFS('Theo dõi'!$A$2:$A$601,$A7,'Theo dõi'!$D$2:$D$601,"Perplexity",'Theo dõi'!$B$2:$B$601,"Q18")-COUNTIFS('Theo dõi'!$A$2:$A$601,$A7,'Theo dõi'!$D$2:$D$601,"Perplexity",'Theo dõi'!$B$2:$B$601,"Q19")-COUNTIFS('Theo dõi'!$A$2:$A$601,$A7,'Theo dõi'!$D$2:$D$601,"Perplexity",'Theo dõi'!$B$2:$B$601,"Q20"))=0,"",(COUNTIFS('Theo dõi'!$A$2:$A$601,$A7,'Theo dõi'!$D$2:$D$601,"Perplexity",'Theo dõi'!$F$2:$F$601,"Có")-COUNTIFS('Theo dõi'!$A$2:$A$601,$A7,'Theo dõi'!$D$2:$D$601,"Perplexity",'Theo dõi'!$F$2:$F$601,"Có",'Theo dõi'!$B$2:$B$601,"Q18")-COUNTIFS('Theo dõi'!$A$2:$A$601,$A7,'Theo dõi'!$D$2:$D$601,"Perplexity",'Theo dõi'!$F$2:$F$601,"Có",'Theo dõi'!$B$2:$B$601,"Q19")-COUNTIFS('Theo dõi'!$A$2:$A$601,$A7,'Theo dõi'!$D$2:$D$601,"Perplexity",'Theo dõi'!$F$2:$F$601,"Có",'Theo dõi'!$B$2:$B$601,"Q20"))/(COUNTIFS('Theo dõi'!$A$2:$A$601,$A7,'Theo dõi'!$D$2:$D$601,"Perplexity")-COUNTIFS('Theo dõi'!$A$2:$A$601,$A7,'Theo dõi'!$D$2:$D$601,"Perplexity",'Theo dõi'!$B$2:$B$601,"Q18")-COUNTIFS('Theo dõi'!$A$2:$A$601,$A7,'Theo dõi'!$D$2:$D$601,"Perplexity",'Theo dõi'!$B$2:$B$601,"Q19")-COUNTIFS('Theo dõi'!$A$2:$A$601,$A7,'Theo dõi'!$D$2:$D$601,"Perplexity",'Theo dõi'!$B$2:$B$601,"Q20")))</f>
        <v/>
      </c>
      <c r="E7" s="16" t="str">
        <f aca="false">IF((COUNTIFS('Theo dõi'!$A$2:$A$601,$A7,'Theo dõi'!$D$2:$D$601,"Gemini")-COUNTIFS('Theo dõi'!$A$2:$A$601,$A7,'Theo dõi'!$D$2:$D$601,"Gemini",'Theo dõi'!$B$2:$B$601,"Q18")-COUNTIFS('Theo dõi'!$A$2:$A$601,$A7,'Theo dõi'!$D$2:$D$601,"Gemini",'Theo dõi'!$B$2:$B$601,"Q19")-COUNTIFS('Theo dõi'!$A$2:$A$601,$A7,'Theo dõi'!$D$2:$D$601,"Gemini",'Theo dõi'!$B$2:$B$601,"Q20"))=0,"",(COUNTIFS('Theo dõi'!$A$2:$A$601,$A7,'Theo dõi'!$D$2:$D$601,"Gemini",'Theo dõi'!$F$2:$F$601,"Có")-COUNTIFS('Theo dõi'!$A$2:$A$601,$A7,'Theo dõi'!$D$2:$D$601,"Gemini",'Theo dõi'!$F$2:$F$601,"Có",'Theo dõi'!$B$2:$B$601,"Q18")-COUNTIFS('Theo dõi'!$A$2:$A$601,$A7,'Theo dõi'!$D$2:$D$601,"Gemini",'Theo dõi'!$F$2:$F$601,"Có",'Theo dõi'!$B$2:$B$601,"Q19")-COUNTIFS('Theo dõi'!$A$2:$A$601,$A7,'Theo dõi'!$D$2:$D$601,"Gemini",'Theo dõi'!$F$2:$F$601,"Có",'Theo dõi'!$B$2:$B$601,"Q20"))/(COUNTIFS('Theo dõi'!$A$2:$A$601,$A7,'Theo dõi'!$D$2:$D$601,"Gemini")-COUNTIFS('Theo dõi'!$A$2:$A$601,$A7,'Theo dõi'!$D$2:$D$601,"Gemini",'Theo dõi'!$B$2:$B$601,"Q18")-COUNTIFS('Theo dõi'!$A$2:$A$601,$A7,'Theo dõi'!$D$2:$D$601,"Gemini",'Theo dõi'!$B$2:$B$601,"Q19")-COUNTIFS('Theo dõi'!$A$2:$A$601,$A7,'Theo dõi'!$D$2:$D$601,"Gemini",'Theo dõi'!$B$2:$B$601,"Q20")))</f>
        <v/>
      </c>
      <c r="F7" s="16" t="str">
        <f aca="false">IF((COUNTIFS('Theo dõi'!$A$2:$A$601,$A7,'Theo dõi'!$D$2:$D$601,"Google AI Overview")-COUNTIFS('Theo dõi'!$A$2:$A$601,$A7,'Theo dõi'!$D$2:$D$601,"Google AI Overview",'Theo dõi'!$B$2:$B$601,"Q18")-COUNTIFS('Theo dõi'!$A$2:$A$601,$A7,'Theo dõi'!$D$2:$D$601,"Google AI Overview",'Theo dõi'!$B$2:$B$601,"Q19")-COUNTIFS('Theo dõi'!$A$2:$A$601,$A7,'Theo dõi'!$D$2:$D$601,"Google AI Overview",'Theo dõi'!$B$2:$B$601,"Q20"))=0,"",(COUNTIFS('Theo dõi'!$A$2:$A$601,$A7,'Theo dõi'!$D$2:$D$601,"Google AI Overview",'Theo dõi'!$F$2:$F$601,"Có")-COUNTIFS('Theo dõi'!$A$2:$A$601,$A7,'Theo dõi'!$D$2:$D$601,"Google AI Overview",'Theo dõi'!$F$2:$F$601,"Có",'Theo dõi'!$B$2:$B$601,"Q18")-COUNTIFS('Theo dõi'!$A$2:$A$601,$A7,'Theo dõi'!$D$2:$D$601,"Google AI Overview",'Theo dõi'!$F$2:$F$601,"Có",'Theo dõi'!$B$2:$B$601,"Q19")-COUNTIFS('Theo dõi'!$A$2:$A$601,$A7,'Theo dõi'!$D$2:$D$601,"Google AI Overview",'Theo dõi'!$F$2:$F$601,"Có",'Theo dõi'!$B$2:$B$601,"Q20"))/(COUNTIFS('Theo dõi'!$A$2:$A$601,$A7,'Theo dõi'!$D$2:$D$601,"Google AI Overview")-COUNTIFS('Theo dõi'!$A$2:$A$601,$A7,'Theo dõi'!$D$2:$D$601,"Google AI Overview",'Theo dõi'!$B$2:$B$601,"Q18")-COUNTIFS('Theo dõi'!$A$2:$A$601,$A7,'Theo dõi'!$D$2:$D$601,"Google AI Overview",'Theo dõi'!$B$2:$B$601,"Q19")-COUNTIFS('Theo dõi'!$A$2:$A$601,$A7,'Theo dõi'!$D$2:$D$601,"Google AI Overview",'Theo dõi'!$B$2:$B$601,"Q20")))</f>
        <v/>
      </c>
      <c r="G7" s="16" t="str">
        <f aca="false">IF((COUNTIFS('Theo dõi'!$A$2:$A$601,$A7,'Theo dõi'!$D$2:$D$601,"Copilot")-COUNTIFS('Theo dõi'!$A$2:$A$601,$A7,'Theo dõi'!$D$2:$D$601,"Copilot",'Theo dõi'!$B$2:$B$601,"Q18")-COUNTIFS('Theo dõi'!$A$2:$A$601,$A7,'Theo dõi'!$D$2:$D$601,"Copilot",'Theo dõi'!$B$2:$B$601,"Q19")-COUNTIFS('Theo dõi'!$A$2:$A$601,$A7,'Theo dõi'!$D$2:$D$601,"Copilot",'Theo dõi'!$B$2:$B$601,"Q20"))=0,"",(COUNTIFS('Theo dõi'!$A$2:$A$601,$A7,'Theo dõi'!$D$2:$D$601,"Copilot",'Theo dõi'!$F$2:$F$601,"Có")-COUNTIFS('Theo dõi'!$A$2:$A$601,$A7,'Theo dõi'!$D$2:$D$601,"Copilot",'Theo dõi'!$F$2:$F$601,"Có",'Theo dõi'!$B$2:$B$601,"Q18")-COUNTIFS('Theo dõi'!$A$2:$A$601,$A7,'Theo dõi'!$D$2:$D$601,"Copilot",'Theo dõi'!$F$2:$F$601,"Có",'Theo dõi'!$B$2:$B$601,"Q19")-COUNTIFS('Theo dõi'!$A$2:$A$601,$A7,'Theo dõi'!$D$2:$D$601,"Copilot",'Theo dõi'!$F$2:$F$601,"Có",'Theo dõi'!$B$2:$B$601,"Q20"))/(COUNTIFS('Theo dõi'!$A$2:$A$601,$A7,'Theo dõi'!$D$2:$D$601,"Copilot")-COUNTIFS('Theo dõi'!$A$2:$A$601,$A7,'Theo dõi'!$D$2:$D$601,"Copilot",'Theo dõi'!$B$2:$B$601,"Q18")-COUNTIFS('Theo dõi'!$A$2:$A$601,$A7,'Theo dõi'!$D$2:$D$601,"Copilot",'Theo dõi'!$B$2:$B$601,"Q19")-COUNTIFS('Theo dõi'!$A$2:$A$601,$A7,'Theo dõi'!$D$2:$D$601,"Copilot",'Theo dõi'!$B$2:$B$601,"Q20")))</f>
        <v/>
      </c>
      <c r="H7" s="17" t="str">
        <f aca="false">IF((COUNTIFS('Theo dõi'!$A$2:$A$601,$A7,'Theo dõi'!$D$2:$D$601,"&lt;&gt;")-COUNTIFS('Theo dõi'!$A$2:$A$601,$A7,'Theo dõi'!$D$2:$D$601,"&lt;&gt;",'Theo dõi'!$B$2:$B$601,"Q18")-COUNTIFS('Theo dõi'!$A$2:$A$601,$A7,'Theo dõi'!$D$2:$D$601,"&lt;&gt;",'Theo dõi'!$B$2:$B$601,"Q19")-COUNTIFS('Theo dõi'!$A$2:$A$601,$A7,'Theo dõi'!$D$2:$D$601,"&lt;&gt;",'Theo dõi'!$B$2:$B$601,"Q20"))=0,"",(COUNTIFS('Theo dõi'!$A$2:$A$601,$A7,'Theo dõi'!$D$2:$D$601,"&lt;&gt;",'Theo dõi'!$F$2:$F$601,"Có")-COUNTIFS('Theo dõi'!$A$2:$A$601,$A7,'Theo dõi'!$D$2:$D$601,"&lt;&gt;",'Theo dõi'!$F$2:$F$601,"Có",'Theo dõi'!$B$2:$B$601,"Q18")-COUNTIFS('Theo dõi'!$A$2:$A$601,$A7,'Theo dõi'!$D$2:$D$601,"&lt;&gt;",'Theo dõi'!$F$2:$F$601,"Có",'Theo dõi'!$B$2:$B$601,"Q19")-COUNTIFS('Theo dõi'!$A$2:$A$601,$A7,'Theo dõi'!$D$2:$D$601,"&lt;&gt;",'Theo dõi'!$F$2:$F$601,"Có",'Theo dõi'!$B$2:$B$601,"Q20"))/(COUNTIFS('Theo dõi'!$A$2:$A$601,$A7,'Theo dõi'!$D$2:$D$601,"&lt;&gt;")-COUNTIFS('Theo dõi'!$A$2:$A$601,$A7,'Theo dõi'!$D$2:$D$601,"&lt;&gt;",'Theo dõi'!$B$2:$B$601,"Q18")-COUNTIFS('Theo dõi'!$A$2:$A$601,$A7,'Theo dõi'!$D$2:$D$601,"&lt;&gt;",'Theo dõi'!$B$2:$B$601,"Q19")-COUNTIFS('Theo dõi'!$A$2:$A$601,$A7,'Theo dõi'!$D$2:$D$601,"&lt;&gt;",'Theo dõi'!$B$2:$B$601,"Q20")))</f>
        <v/>
      </c>
    </row>
    <row r="8" customFormat="false" ht="15" hidden="false" customHeight="false" outlineLevel="0" collapsed="false">
      <c r="A8" s="14" t="s">
        <v>129</v>
      </c>
      <c r="B8" s="15" t="n">
        <f aca="false">COUNTIFS('Theo dõi'!$A$2:$A$601,$A8,'Theo dõi'!$D$2:$D$601,"&lt;&gt;")-COUNTIFS('Theo dõi'!$A$2:$A$601,$A8,'Theo dõi'!$D$2:$D$601,"&lt;&gt;",'Theo dõi'!$B$2:$B$601,"Q18")-COUNTIFS('Theo dõi'!$A$2:$A$601,$A8,'Theo dõi'!$D$2:$D$601,"&lt;&gt;",'Theo dõi'!$B$2:$B$601,"Q19")-COUNTIFS('Theo dõi'!$A$2:$A$601,$A8,'Theo dõi'!$D$2:$D$601,"&lt;&gt;",'Theo dõi'!$B$2:$B$601,"Q20")</f>
        <v>0</v>
      </c>
      <c r="C8" s="16" t="str">
        <f aca="false">IF((COUNTIFS('Theo dõi'!$A$2:$A$601,$A8,'Theo dõi'!$D$2:$D$601,"ChatGPT")-COUNTIFS('Theo dõi'!$A$2:$A$601,$A8,'Theo dõi'!$D$2:$D$601,"ChatGPT",'Theo dõi'!$B$2:$B$601,"Q18")-COUNTIFS('Theo dõi'!$A$2:$A$601,$A8,'Theo dõi'!$D$2:$D$601,"ChatGPT",'Theo dõi'!$B$2:$B$601,"Q19")-COUNTIFS('Theo dõi'!$A$2:$A$601,$A8,'Theo dõi'!$D$2:$D$601,"ChatGPT",'Theo dõi'!$B$2:$B$601,"Q20"))=0,"",(COUNTIFS('Theo dõi'!$A$2:$A$601,$A8,'Theo dõi'!$D$2:$D$601,"ChatGPT",'Theo dõi'!$F$2:$F$601,"Có")-COUNTIFS('Theo dõi'!$A$2:$A$601,$A8,'Theo dõi'!$D$2:$D$601,"ChatGPT",'Theo dõi'!$F$2:$F$601,"Có",'Theo dõi'!$B$2:$B$601,"Q18")-COUNTIFS('Theo dõi'!$A$2:$A$601,$A8,'Theo dõi'!$D$2:$D$601,"ChatGPT",'Theo dõi'!$F$2:$F$601,"Có",'Theo dõi'!$B$2:$B$601,"Q19")-COUNTIFS('Theo dõi'!$A$2:$A$601,$A8,'Theo dõi'!$D$2:$D$601,"ChatGPT",'Theo dõi'!$F$2:$F$601,"Có",'Theo dõi'!$B$2:$B$601,"Q20"))/(COUNTIFS('Theo dõi'!$A$2:$A$601,$A8,'Theo dõi'!$D$2:$D$601,"ChatGPT")-COUNTIFS('Theo dõi'!$A$2:$A$601,$A8,'Theo dõi'!$D$2:$D$601,"ChatGPT",'Theo dõi'!$B$2:$B$601,"Q18")-COUNTIFS('Theo dõi'!$A$2:$A$601,$A8,'Theo dõi'!$D$2:$D$601,"ChatGPT",'Theo dõi'!$B$2:$B$601,"Q19")-COUNTIFS('Theo dõi'!$A$2:$A$601,$A8,'Theo dõi'!$D$2:$D$601,"ChatGPT",'Theo dõi'!$B$2:$B$601,"Q20")))</f>
        <v/>
      </c>
      <c r="D8" s="16" t="str">
        <f aca="false">IF((COUNTIFS('Theo dõi'!$A$2:$A$601,$A8,'Theo dõi'!$D$2:$D$601,"Perplexity")-COUNTIFS('Theo dõi'!$A$2:$A$601,$A8,'Theo dõi'!$D$2:$D$601,"Perplexity",'Theo dõi'!$B$2:$B$601,"Q18")-COUNTIFS('Theo dõi'!$A$2:$A$601,$A8,'Theo dõi'!$D$2:$D$601,"Perplexity",'Theo dõi'!$B$2:$B$601,"Q19")-COUNTIFS('Theo dõi'!$A$2:$A$601,$A8,'Theo dõi'!$D$2:$D$601,"Perplexity",'Theo dõi'!$B$2:$B$601,"Q20"))=0,"",(COUNTIFS('Theo dõi'!$A$2:$A$601,$A8,'Theo dõi'!$D$2:$D$601,"Perplexity",'Theo dõi'!$F$2:$F$601,"Có")-COUNTIFS('Theo dõi'!$A$2:$A$601,$A8,'Theo dõi'!$D$2:$D$601,"Perplexity",'Theo dõi'!$F$2:$F$601,"Có",'Theo dõi'!$B$2:$B$601,"Q18")-COUNTIFS('Theo dõi'!$A$2:$A$601,$A8,'Theo dõi'!$D$2:$D$601,"Perplexity",'Theo dõi'!$F$2:$F$601,"Có",'Theo dõi'!$B$2:$B$601,"Q19")-COUNTIFS('Theo dõi'!$A$2:$A$601,$A8,'Theo dõi'!$D$2:$D$601,"Perplexity",'Theo dõi'!$F$2:$F$601,"Có",'Theo dõi'!$B$2:$B$601,"Q20"))/(COUNTIFS('Theo dõi'!$A$2:$A$601,$A8,'Theo dõi'!$D$2:$D$601,"Perplexity")-COUNTIFS('Theo dõi'!$A$2:$A$601,$A8,'Theo dõi'!$D$2:$D$601,"Perplexity",'Theo dõi'!$B$2:$B$601,"Q18")-COUNTIFS('Theo dõi'!$A$2:$A$601,$A8,'Theo dõi'!$D$2:$D$601,"Perplexity",'Theo dõi'!$B$2:$B$601,"Q19")-COUNTIFS('Theo dõi'!$A$2:$A$601,$A8,'Theo dõi'!$D$2:$D$601,"Perplexity",'Theo dõi'!$B$2:$B$601,"Q20")))</f>
        <v/>
      </c>
      <c r="E8" s="16" t="str">
        <f aca="false">IF((COUNTIFS('Theo dõi'!$A$2:$A$601,$A8,'Theo dõi'!$D$2:$D$601,"Gemini")-COUNTIFS('Theo dõi'!$A$2:$A$601,$A8,'Theo dõi'!$D$2:$D$601,"Gemini",'Theo dõi'!$B$2:$B$601,"Q18")-COUNTIFS('Theo dõi'!$A$2:$A$601,$A8,'Theo dõi'!$D$2:$D$601,"Gemini",'Theo dõi'!$B$2:$B$601,"Q19")-COUNTIFS('Theo dõi'!$A$2:$A$601,$A8,'Theo dõi'!$D$2:$D$601,"Gemini",'Theo dõi'!$B$2:$B$601,"Q20"))=0,"",(COUNTIFS('Theo dõi'!$A$2:$A$601,$A8,'Theo dõi'!$D$2:$D$601,"Gemini",'Theo dõi'!$F$2:$F$601,"Có")-COUNTIFS('Theo dõi'!$A$2:$A$601,$A8,'Theo dõi'!$D$2:$D$601,"Gemini",'Theo dõi'!$F$2:$F$601,"Có",'Theo dõi'!$B$2:$B$601,"Q18")-COUNTIFS('Theo dõi'!$A$2:$A$601,$A8,'Theo dõi'!$D$2:$D$601,"Gemini",'Theo dõi'!$F$2:$F$601,"Có",'Theo dõi'!$B$2:$B$601,"Q19")-COUNTIFS('Theo dõi'!$A$2:$A$601,$A8,'Theo dõi'!$D$2:$D$601,"Gemini",'Theo dõi'!$F$2:$F$601,"Có",'Theo dõi'!$B$2:$B$601,"Q20"))/(COUNTIFS('Theo dõi'!$A$2:$A$601,$A8,'Theo dõi'!$D$2:$D$601,"Gemini")-COUNTIFS('Theo dõi'!$A$2:$A$601,$A8,'Theo dõi'!$D$2:$D$601,"Gemini",'Theo dõi'!$B$2:$B$601,"Q18")-COUNTIFS('Theo dõi'!$A$2:$A$601,$A8,'Theo dõi'!$D$2:$D$601,"Gemini",'Theo dõi'!$B$2:$B$601,"Q19")-COUNTIFS('Theo dõi'!$A$2:$A$601,$A8,'Theo dõi'!$D$2:$D$601,"Gemini",'Theo dõi'!$B$2:$B$601,"Q20")))</f>
        <v/>
      </c>
      <c r="F8" s="16" t="str">
        <f aca="false">IF((COUNTIFS('Theo dõi'!$A$2:$A$601,$A8,'Theo dõi'!$D$2:$D$601,"Google AI Overview")-COUNTIFS('Theo dõi'!$A$2:$A$601,$A8,'Theo dõi'!$D$2:$D$601,"Google AI Overview",'Theo dõi'!$B$2:$B$601,"Q18")-COUNTIFS('Theo dõi'!$A$2:$A$601,$A8,'Theo dõi'!$D$2:$D$601,"Google AI Overview",'Theo dõi'!$B$2:$B$601,"Q19")-COUNTIFS('Theo dõi'!$A$2:$A$601,$A8,'Theo dõi'!$D$2:$D$601,"Google AI Overview",'Theo dõi'!$B$2:$B$601,"Q20"))=0,"",(COUNTIFS('Theo dõi'!$A$2:$A$601,$A8,'Theo dõi'!$D$2:$D$601,"Google AI Overview",'Theo dõi'!$F$2:$F$601,"Có")-COUNTIFS('Theo dõi'!$A$2:$A$601,$A8,'Theo dõi'!$D$2:$D$601,"Google AI Overview",'Theo dõi'!$F$2:$F$601,"Có",'Theo dõi'!$B$2:$B$601,"Q18")-COUNTIFS('Theo dõi'!$A$2:$A$601,$A8,'Theo dõi'!$D$2:$D$601,"Google AI Overview",'Theo dõi'!$F$2:$F$601,"Có",'Theo dõi'!$B$2:$B$601,"Q19")-COUNTIFS('Theo dõi'!$A$2:$A$601,$A8,'Theo dõi'!$D$2:$D$601,"Google AI Overview",'Theo dõi'!$F$2:$F$601,"Có",'Theo dõi'!$B$2:$B$601,"Q20"))/(COUNTIFS('Theo dõi'!$A$2:$A$601,$A8,'Theo dõi'!$D$2:$D$601,"Google AI Overview")-COUNTIFS('Theo dõi'!$A$2:$A$601,$A8,'Theo dõi'!$D$2:$D$601,"Google AI Overview",'Theo dõi'!$B$2:$B$601,"Q18")-COUNTIFS('Theo dõi'!$A$2:$A$601,$A8,'Theo dõi'!$D$2:$D$601,"Google AI Overview",'Theo dõi'!$B$2:$B$601,"Q19")-COUNTIFS('Theo dõi'!$A$2:$A$601,$A8,'Theo dõi'!$D$2:$D$601,"Google AI Overview",'Theo dõi'!$B$2:$B$601,"Q20")))</f>
        <v/>
      </c>
      <c r="G8" s="16" t="str">
        <f aca="false">IF((COUNTIFS('Theo dõi'!$A$2:$A$601,$A8,'Theo dõi'!$D$2:$D$601,"Copilot")-COUNTIFS('Theo dõi'!$A$2:$A$601,$A8,'Theo dõi'!$D$2:$D$601,"Copilot",'Theo dõi'!$B$2:$B$601,"Q18")-COUNTIFS('Theo dõi'!$A$2:$A$601,$A8,'Theo dõi'!$D$2:$D$601,"Copilot",'Theo dõi'!$B$2:$B$601,"Q19")-COUNTIFS('Theo dõi'!$A$2:$A$601,$A8,'Theo dõi'!$D$2:$D$601,"Copilot",'Theo dõi'!$B$2:$B$601,"Q20"))=0,"",(COUNTIFS('Theo dõi'!$A$2:$A$601,$A8,'Theo dõi'!$D$2:$D$601,"Copilot",'Theo dõi'!$F$2:$F$601,"Có")-COUNTIFS('Theo dõi'!$A$2:$A$601,$A8,'Theo dõi'!$D$2:$D$601,"Copilot",'Theo dõi'!$F$2:$F$601,"Có",'Theo dõi'!$B$2:$B$601,"Q18")-COUNTIFS('Theo dõi'!$A$2:$A$601,$A8,'Theo dõi'!$D$2:$D$601,"Copilot",'Theo dõi'!$F$2:$F$601,"Có",'Theo dõi'!$B$2:$B$601,"Q19")-COUNTIFS('Theo dõi'!$A$2:$A$601,$A8,'Theo dõi'!$D$2:$D$601,"Copilot",'Theo dõi'!$F$2:$F$601,"Có",'Theo dõi'!$B$2:$B$601,"Q20"))/(COUNTIFS('Theo dõi'!$A$2:$A$601,$A8,'Theo dõi'!$D$2:$D$601,"Copilot")-COUNTIFS('Theo dõi'!$A$2:$A$601,$A8,'Theo dõi'!$D$2:$D$601,"Copilot",'Theo dõi'!$B$2:$B$601,"Q18")-COUNTIFS('Theo dõi'!$A$2:$A$601,$A8,'Theo dõi'!$D$2:$D$601,"Copilot",'Theo dõi'!$B$2:$B$601,"Q19")-COUNTIFS('Theo dõi'!$A$2:$A$601,$A8,'Theo dõi'!$D$2:$D$601,"Copilot",'Theo dõi'!$B$2:$B$601,"Q20")))</f>
        <v/>
      </c>
      <c r="H8" s="17" t="str">
        <f aca="false">IF((COUNTIFS('Theo dõi'!$A$2:$A$601,$A8,'Theo dõi'!$D$2:$D$601,"&lt;&gt;")-COUNTIFS('Theo dõi'!$A$2:$A$601,$A8,'Theo dõi'!$D$2:$D$601,"&lt;&gt;",'Theo dõi'!$B$2:$B$601,"Q18")-COUNTIFS('Theo dõi'!$A$2:$A$601,$A8,'Theo dõi'!$D$2:$D$601,"&lt;&gt;",'Theo dõi'!$B$2:$B$601,"Q19")-COUNTIFS('Theo dõi'!$A$2:$A$601,$A8,'Theo dõi'!$D$2:$D$601,"&lt;&gt;",'Theo dõi'!$B$2:$B$601,"Q20"))=0,"",(COUNTIFS('Theo dõi'!$A$2:$A$601,$A8,'Theo dõi'!$D$2:$D$601,"&lt;&gt;",'Theo dõi'!$F$2:$F$601,"Có")-COUNTIFS('Theo dõi'!$A$2:$A$601,$A8,'Theo dõi'!$D$2:$D$601,"&lt;&gt;",'Theo dõi'!$F$2:$F$601,"Có",'Theo dõi'!$B$2:$B$601,"Q18")-COUNTIFS('Theo dõi'!$A$2:$A$601,$A8,'Theo dõi'!$D$2:$D$601,"&lt;&gt;",'Theo dõi'!$F$2:$F$601,"Có",'Theo dõi'!$B$2:$B$601,"Q19")-COUNTIFS('Theo dõi'!$A$2:$A$601,$A8,'Theo dõi'!$D$2:$D$601,"&lt;&gt;",'Theo dõi'!$F$2:$F$601,"Có",'Theo dõi'!$B$2:$B$601,"Q20"))/(COUNTIFS('Theo dõi'!$A$2:$A$601,$A8,'Theo dõi'!$D$2:$D$601,"&lt;&gt;")-COUNTIFS('Theo dõi'!$A$2:$A$601,$A8,'Theo dõi'!$D$2:$D$601,"&lt;&gt;",'Theo dõi'!$B$2:$B$601,"Q18")-COUNTIFS('Theo dõi'!$A$2:$A$601,$A8,'Theo dõi'!$D$2:$D$601,"&lt;&gt;",'Theo dõi'!$B$2:$B$601,"Q19")-COUNTIFS('Theo dõi'!$A$2:$A$601,$A8,'Theo dõi'!$D$2:$D$601,"&lt;&gt;",'Theo dõi'!$B$2:$B$601,"Q20")))</f>
        <v/>
      </c>
    </row>
    <row r="9" customFormat="false" ht="15" hidden="false" customHeight="false" outlineLevel="0" collapsed="false">
      <c r="A9" s="14" t="s">
        <v>130</v>
      </c>
      <c r="B9" s="15" t="n">
        <f aca="false">COUNTIFS('Theo dõi'!$A$2:$A$601,$A9,'Theo dõi'!$D$2:$D$601,"&lt;&gt;")-COUNTIFS('Theo dõi'!$A$2:$A$601,$A9,'Theo dõi'!$D$2:$D$601,"&lt;&gt;",'Theo dõi'!$B$2:$B$601,"Q18")-COUNTIFS('Theo dõi'!$A$2:$A$601,$A9,'Theo dõi'!$D$2:$D$601,"&lt;&gt;",'Theo dõi'!$B$2:$B$601,"Q19")-COUNTIFS('Theo dõi'!$A$2:$A$601,$A9,'Theo dõi'!$D$2:$D$601,"&lt;&gt;",'Theo dõi'!$B$2:$B$601,"Q20")</f>
        <v>0</v>
      </c>
      <c r="C9" s="16" t="str">
        <f aca="false">IF((COUNTIFS('Theo dõi'!$A$2:$A$601,$A9,'Theo dõi'!$D$2:$D$601,"ChatGPT")-COUNTIFS('Theo dõi'!$A$2:$A$601,$A9,'Theo dõi'!$D$2:$D$601,"ChatGPT",'Theo dõi'!$B$2:$B$601,"Q18")-COUNTIFS('Theo dõi'!$A$2:$A$601,$A9,'Theo dõi'!$D$2:$D$601,"ChatGPT",'Theo dõi'!$B$2:$B$601,"Q19")-COUNTIFS('Theo dõi'!$A$2:$A$601,$A9,'Theo dõi'!$D$2:$D$601,"ChatGPT",'Theo dõi'!$B$2:$B$601,"Q20"))=0,"",(COUNTIFS('Theo dõi'!$A$2:$A$601,$A9,'Theo dõi'!$D$2:$D$601,"ChatGPT",'Theo dõi'!$F$2:$F$601,"Có")-COUNTIFS('Theo dõi'!$A$2:$A$601,$A9,'Theo dõi'!$D$2:$D$601,"ChatGPT",'Theo dõi'!$F$2:$F$601,"Có",'Theo dõi'!$B$2:$B$601,"Q18")-COUNTIFS('Theo dõi'!$A$2:$A$601,$A9,'Theo dõi'!$D$2:$D$601,"ChatGPT",'Theo dõi'!$F$2:$F$601,"Có",'Theo dõi'!$B$2:$B$601,"Q19")-COUNTIFS('Theo dõi'!$A$2:$A$601,$A9,'Theo dõi'!$D$2:$D$601,"ChatGPT",'Theo dõi'!$F$2:$F$601,"Có",'Theo dõi'!$B$2:$B$601,"Q20"))/(COUNTIFS('Theo dõi'!$A$2:$A$601,$A9,'Theo dõi'!$D$2:$D$601,"ChatGPT")-COUNTIFS('Theo dõi'!$A$2:$A$601,$A9,'Theo dõi'!$D$2:$D$601,"ChatGPT",'Theo dõi'!$B$2:$B$601,"Q18")-COUNTIFS('Theo dõi'!$A$2:$A$601,$A9,'Theo dõi'!$D$2:$D$601,"ChatGPT",'Theo dõi'!$B$2:$B$601,"Q19")-COUNTIFS('Theo dõi'!$A$2:$A$601,$A9,'Theo dõi'!$D$2:$D$601,"ChatGPT",'Theo dõi'!$B$2:$B$601,"Q20")))</f>
        <v/>
      </c>
      <c r="D9" s="16" t="str">
        <f aca="false">IF((COUNTIFS('Theo dõi'!$A$2:$A$601,$A9,'Theo dõi'!$D$2:$D$601,"Perplexity")-COUNTIFS('Theo dõi'!$A$2:$A$601,$A9,'Theo dõi'!$D$2:$D$601,"Perplexity",'Theo dõi'!$B$2:$B$601,"Q18")-COUNTIFS('Theo dõi'!$A$2:$A$601,$A9,'Theo dõi'!$D$2:$D$601,"Perplexity",'Theo dõi'!$B$2:$B$601,"Q19")-COUNTIFS('Theo dõi'!$A$2:$A$601,$A9,'Theo dõi'!$D$2:$D$601,"Perplexity",'Theo dõi'!$B$2:$B$601,"Q20"))=0,"",(COUNTIFS('Theo dõi'!$A$2:$A$601,$A9,'Theo dõi'!$D$2:$D$601,"Perplexity",'Theo dõi'!$F$2:$F$601,"Có")-COUNTIFS('Theo dõi'!$A$2:$A$601,$A9,'Theo dõi'!$D$2:$D$601,"Perplexity",'Theo dõi'!$F$2:$F$601,"Có",'Theo dõi'!$B$2:$B$601,"Q18")-COUNTIFS('Theo dõi'!$A$2:$A$601,$A9,'Theo dõi'!$D$2:$D$601,"Perplexity",'Theo dõi'!$F$2:$F$601,"Có",'Theo dõi'!$B$2:$B$601,"Q19")-COUNTIFS('Theo dõi'!$A$2:$A$601,$A9,'Theo dõi'!$D$2:$D$601,"Perplexity",'Theo dõi'!$F$2:$F$601,"Có",'Theo dõi'!$B$2:$B$601,"Q20"))/(COUNTIFS('Theo dõi'!$A$2:$A$601,$A9,'Theo dõi'!$D$2:$D$601,"Perplexity")-COUNTIFS('Theo dõi'!$A$2:$A$601,$A9,'Theo dõi'!$D$2:$D$601,"Perplexity",'Theo dõi'!$B$2:$B$601,"Q18")-COUNTIFS('Theo dõi'!$A$2:$A$601,$A9,'Theo dõi'!$D$2:$D$601,"Perplexity",'Theo dõi'!$B$2:$B$601,"Q19")-COUNTIFS('Theo dõi'!$A$2:$A$601,$A9,'Theo dõi'!$D$2:$D$601,"Perplexity",'Theo dõi'!$B$2:$B$601,"Q20")))</f>
        <v/>
      </c>
      <c r="E9" s="16" t="str">
        <f aca="false">IF((COUNTIFS('Theo dõi'!$A$2:$A$601,$A9,'Theo dõi'!$D$2:$D$601,"Gemini")-COUNTIFS('Theo dõi'!$A$2:$A$601,$A9,'Theo dõi'!$D$2:$D$601,"Gemini",'Theo dõi'!$B$2:$B$601,"Q18")-COUNTIFS('Theo dõi'!$A$2:$A$601,$A9,'Theo dõi'!$D$2:$D$601,"Gemini",'Theo dõi'!$B$2:$B$601,"Q19")-COUNTIFS('Theo dõi'!$A$2:$A$601,$A9,'Theo dõi'!$D$2:$D$601,"Gemini",'Theo dõi'!$B$2:$B$601,"Q20"))=0,"",(COUNTIFS('Theo dõi'!$A$2:$A$601,$A9,'Theo dõi'!$D$2:$D$601,"Gemini",'Theo dõi'!$F$2:$F$601,"Có")-COUNTIFS('Theo dõi'!$A$2:$A$601,$A9,'Theo dõi'!$D$2:$D$601,"Gemini",'Theo dõi'!$F$2:$F$601,"Có",'Theo dõi'!$B$2:$B$601,"Q18")-COUNTIFS('Theo dõi'!$A$2:$A$601,$A9,'Theo dõi'!$D$2:$D$601,"Gemini",'Theo dõi'!$F$2:$F$601,"Có",'Theo dõi'!$B$2:$B$601,"Q19")-COUNTIFS('Theo dõi'!$A$2:$A$601,$A9,'Theo dõi'!$D$2:$D$601,"Gemini",'Theo dõi'!$F$2:$F$601,"Có",'Theo dõi'!$B$2:$B$601,"Q20"))/(COUNTIFS('Theo dõi'!$A$2:$A$601,$A9,'Theo dõi'!$D$2:$D$601,"Gemini")-COUNTIFS('Theo dõi'!$A$2:$A$601,$A9,'Theo dõi'!$D$2:$D$601,"Gemini",'Theo dõi'!$B$2:$B$601,"Q18")-COUNTIFS('Theo dõi'!$A$2:$A$601,$A9,'Theo dõi'!$D$2:$D$601,"Gemini",'Theo dõi'!$B$2:$B$601,"Q19")-COUNTIFS('Theo dõi'!$A$2:$A$601,$A9,'Theo dõi'!$D$2:$D$601,"Gemini",'Theo dõi'!$B$2:$B$601,"Q20")))</f>
        <v/>
      </c>
      <c r="F9" s="16" t="str">
        <f aca="false">IF((COUNTIFS('Theo dõi'!$A$2:$A$601,$A9,'Theo dõi'!$D$2:$D$601,"Google AI Overview")-COUNTIFS('Theo dõi'!$A$2:$A$601,$A9,'Theo dõi'!$D$2:$D$601,"Google AI Overview",'Theo dõi'!$B$2:$B$601,"Q18")-COUNTIFS('Theo dõi'!$A$2:$A$601,$A9,'Theo dõi'!$D$2:$D$601,"Google AI Overview",'Theo dõi'!$B$2:$B$601,"Q19")-COUNTIFS('Theo dõi'!$A$2:$A$601,$A9,'Theo dõi'!$D$2:$D$601,"Google AI Overview",'Theo dõi'!$B$2:$B$601,"Q20"))=0,"",(COUNTIFS('Theo dõi'!$A$2:$A$601,$A9,'Theo dõi'!$D$2:$D$601,"Google AI Overview",'Theo dõi'!$F$2:$F$601,"Có")-COUNTIFS('Theo dõi'!$A$2:$A$601,$A9,'Theo dõi'!$D$2:$D$601,"Google AI Overview",'Theo dõi'!$F$2:$F$601,"Có",'Theo dõi'!$B$2:$B$601,"Q18")-COUNTIFS('Theo dõi'!$A$2:$A$601,$A9,'Theo dõi'!$D$2:$D$601,"Google AI Overview",'Theo dõi'!$F$2:$F$601,"Có",'Theo dõi'!$B$2:$B$601,"Q19")-COUNTIFS('Theo dõi'!$A$2:$A$601,$A9,'Theo dõi'!$D$2:$D$601,"Google AI Overview",'Theo dõi'!$F$2:$F$601,"Có",'Theo dõi'!$B$2:$B$601,"Q20"))/(COUNTIFS('Theo dõi'!$A$2:$A$601,$A9,'Theo dõi'!$D$2:$D$601,"Google AI Overview")-COUNTIFS('Theo dõi'!$A$2:$A$601,$A9,'Theo dõi'!$D$2:$D$601,"Google AI Overview",'Theo dõi'!$B$2:$B$601,"Q18")-COUNTIFS('Theo dõi'!$A$2:$A$601,$A9,'Theo dõi'!$D$2:$D$601,"Google AI Overview",'Theo dõi'!$B$2:$B$601,"Q19")-COUNTIFS('Theo dõi'!$A$2:$A$601,$A9,'Theo dõi'!$D$2:$D$601,"Google AI Overview",'Theo dõi'!$B$2:$B$601,"Q20")))</f>
        <v/>
      </c>
      <c r="G9" s="16" t="str">
        <f aca="false">IF((COUNTIFS('Theo dõi'!$A$2:$A$601,$A9,'Theo dõi'!$D$2:$D$601,"Copilot")-COUNTIFS('Theo dõi'!$A$2:$A$601,$A9,'Theo dõi'!$D$2:$D$601,"Copilot",'Theo dõi'!$B$2:$B$601,"Q18")-COUNTIFS('Theo dõi'!$A$2:$A$601,$A9,'Theo dõi'!$D$2:$D$601,"Copilot",'Theo dõi'!$B$2:$B$601,"Q19")-COUNTIFS('Theo dõi'!$A$2:$A$601,$A9,'Theo dõi'!$D$2:$D$601,"Copilot",'Theo dõi'!$B$2:$B$601,"Q20"))=0,"",(COUNTIFS('Theo dõi'!$A$2:$A$601,$A9,'Theo dõi'!$D$2:$D$601,"Copilot",'Theo dõi'!$F$2:$F$601,"Có")-COUNTIFS('Theo dõi'!$A$2:$A$601,$A9,'Theo dõi'!$D$2:$D$601,"Copilot",'Theo dõi'!$F$2:$F$601,"Có",'Theo dõi'!$B$2:$B$601,"Q18")-COUNTIFS('Theo dõi'!$A$2:$A$601,$A9,'Theo dõi'!$D$2:$D$601,"Copilot",'Theo dõi'!$F$2:$F$601,"Có",'Theo dõi'!$B$2:$B$601,"Q19")-COUNTIFS('Theo dõi'!$A$2:$A$601,$A9,'Theo dõi'!$D$2:$D$601,"Copilot",'Theo dõi'!$F$2:$F$601,"Có",'Theo dõi'!$B$2:$B$601,"Q20"))/(COUNTIFS('Theo dõi'!$A$2:$A$601,$A9,'Theo dõi'!$D$2:$D$601,"Copilot")-COUNTIFS('Theo dõi'!$A$2:$A$601,$A9,'Theo dõi'!$D$2:$D$601,"Copilot",'Theo dõi'!$B$2:$B$601,"Q18")-COUNTIFS('Theo dõi'!$A$2:$A$601,$A9,'Theo dõi'!$D$2:$D$601,"Copilot",'Theo dõi'!$B$2:$B$601,"Q19")-COUNTIFS('Theo dõi'!$A$2:$A$601,$A9,'Theo dõi'!$D$2:$D$601,"Copilot",'Theo dõi'!$B$2:$B$601,"Q20")))</f>
        <v/>
      </c>
      <c r="H9" s="17" t="str">
        <f aca="false">IF((COUNTIFS('Theo dõi'!$A$2:$A$601,$A9,'Theo dõi'!$D$2:$D$601,"&lt;&gt;")-COUNTIFS('Theo dõi'!$A$2:$A$601,$A9,'Theo dõi'!$D$2:$D$601,"&lt;&gt;",'Theo dõi'!$B$2:$B$601,"Q18")-COUNTIFS('Theo dõi'!$A$2:$A$601,$A9,'Theo dõi'!$D$2:$D$601,"&lt;&gt;",'Theo dõi'!$B$2:$B$601,"Q19")-COUNTIFS('Theo dõi'!$A$2:$A$601,$A9,'Theo dõi'!$D$2:$D$601,"&lt;&gt;",'Theo dõi'!$B$2:$B$601,"Q20"))=0,"",(COUNTIFS('Theo dõi'!$A$2:$A$601,$A9,'Theo dõi'!$D$2:$D$601,"&lt;&gt;",'Theo dõi'!$F$2:$F$601,"Có")-COUNTIFS('Theo dõi'!$A$2:$A$601,$A9,'Theo dõi'!$D$2:$D$601,"&lt;&gt;",'Theo dõi'!$F$2:$F$601,"Có",'Theo dõi'!$B$2:$B$601,"Q18")-COUNTIFS('Theo dõi'!$A$2:$A$601,$A9,'Theo dõi'!$D$2:$D$601,"&lt;&gt;",'Theo dõi'!$F$2:$F$601,"Có",'Theo dõi'!$B$2:$B$601,"Q19")-COUNTIFS('Theo dõi'!$A$2:$A$601,$A9,'Theo dõi'!$D$2:$D$601,"&lt;&gt;",'Theo dõi'!$F$2:$F$601,"Có",'Theo dõi'!$B$2:$B$601,"Q20"))/(COUNTIFS('Theo dõi'!$A$2:$A$601,$A9,'Theo dõi'!$D$2:$D$601,"&lt;&gt;")-COUNTIFS('Theo dõi'!$A$2:$A$601,$A9,'Theo dõi'!$D$2:$D$601,"&lt;&gt;",'Theo dõi'!$B$2:$B$601,"Q18")-COUNTIFS('Theo dõi'!$A$2:$A$601,$A9,'Theo dõi'!$D$2:$D$601,"&lt;&gt;",'Theo dõi'!$B$2:$B$601,"Q19")-COUNTIFS('Theo dõi'!$A$2:$A$601,$A9,'Theo dõi'!$D$2:$D$601,"&lt;&gt;",'Theo dõi'!$B$2:$B$601,"Q20")))</f>
        <v/>
      </c>
    </row>
    <row r="10" customFormat="false" ht="15" hidden="false" customHeight="false" outlineLevel="0" collapsed="false">
      <c r="A10" s="14" t="s">
        <v>131</v>
      </c>
      <c r="B10" s="15" t="n">
        <f aca="false">COUNTIFS('Theo dõi'!$A$2:$A$601,$A10,'Theo dõi'!$D$2:$D$601,"&lt;&gt;")-COUNTIFS('Theo dõi'!$A$2:$A$601,$A10,'Theo dõi'!$D$2:$D$601,"&lt;&gt;",'Theo dõi'!$B$2:$B$601,"Q18")-COUNTIFS('Theo dõi'!$A$2:$A$601,$A10,'Theo dõi'!$D$2:$D$601,"&lt;&gt;",'Theo dõi'!$B$2:$B$601,"Q19")-COUNTIFS('Theo dõi'!$A$2:$A$601,$A10,'Theo dõi'!$D$2:$D$601,"&lt;&gt;",'Theo dõi'!$B$2:$B$601,"Q20")</f>
        <v>0</v>
      </c>
      <c r="C10" s="16" t="str">
        <f aca="false">IF((COUNTIFS('Theo dõi'!$A$2:$A$601,$A10,'Theo dõi'!$D$2:$D$601,"ChatGPT")-COUNTIFS('Theo dõi'!$A$2:$A$601,$A10,'Theo dõi'!$D$2:$D$601,"ChatGPT",'Theo dõi'!$B$2:$B$601,"Q18")-COUNTIFS('Theo dõi'!$A$2:$A$601,$A10,'Theo dõi'!$D$2:$D$601,"ChatGPT",'Theo dõi'!$B$2:$B$601,"Q19")-COUNTIFS('Theo dõi'!$A$2:$A$601,$A10,'Theo dõi'!$D$2:$D$601,"ChatGPT",'Theo dõi'!$B$2:$B$601,"Q20"))=0,"",(COUNTIFS('Theo dõi'!$A$2:$A$601,$A10,'Theo dõi'!$D$2:$D$601,"ChatGPT",'Theo dõi'!$F$2:$F$601,"Có")-COUNTIFS('Theo dõi'!$A$2:$A$601,$A10,'Theo dõi'!$D$2:$D$601,"ChatGPT",'Theo dõi'!$F$2:$F$601,"Có",'Theo dõi'!$B$2:$B$601,"Q18")-COUNTIFS('Theo dõi'!$A$2:$A$601,$A10,'Theo dõi'!$D$2:$D$601,"ChatGPT",'Theo dõi'!$F$2:$F$601,"Có",'Theo dõi'!$B$2:$B$601,"Q19")-COUNTIFS('Theo dõi'!$A$2:$A$601,$A10,'Theo dõi'!$D$2:$D$601,"ChatGPT",'Theo dõi'!$F$2:$F$601,"Có",'Theo dõi'!$B$2:$B$601,"Q20"))/(COUNTIFS('Theo dõi'!$A$2:$A$601,$A10,'Theo dõi'!$D$2:$D$601,"ChatGPT")-COUNTIFS('Theo dõi'!$A$2:$A$601,$A10,'Theo dõi'!$D$2:$D$601,"ChatGPT",'Theo dõi'!$B$2:$B$601,"Q18")-COUNTIFS('Theo dõi'!$A$2:$A$601,$A10,'Theo dõi'!$D$2:$D$601,"ChatGPT",'Theo dõi'!$B$2:$B$601,"Q19")-COUNTIFS('Theo dõi'!$A$2:$A$601,$A10,'Theo dõi'!$D$2:$D$601,"ChatGPT",'Theo dõi'!$B$2:$B$601,"Q20")))</f>
        <v/>
      </c>
      <c r="D10" s="16" t="str">
        <f aca="false">IF((COUNTIFS('Theo dõi'!$A$2:$A$601,$A10,'Theo dõi'!$D$2:$D$601,"Perplexity")-COUNTIFS('Theo dõi'!$A$2:$A$601,$A10,'Theo dõi'!$D$2:$D$601,"Perplexity",'Theo dõi'!$B$2:$B$601,"Q18")-COUNTIFS('Theo dõi'!$A$2:$A$601,$A10,'Theo dõi'!$D$2:$D$601,"Perplexity",'Theo dõi'!$B$2:$B$601,"Q19")-COUNTIFS('Theo dõi'!$A$2:$A$601,$A10,'Theo dõi'!$D$2:$D$601,"Perplexity",'Theo dõi'!$B$2:$B$601,"Q20"))=0,"",(COUNTIFS('Theo dõi'!$A$2:$A$601,$A10,'Theo dõi'!$D$2:$D$601,"Perplexity",'Theo dõi'!$F$2:$F$601,"Có")-COUNTIFS('Theo dõi'!$A$2:$A$601,$A10,'Theo dõi'!$D$2:$D$601,"Perplexity",'Theo dõi'!$F$2:$F$601,"Có",'Theo dõi'!$B$2:$B$601,"Q18")-COUNTIFS('Theo dõi'!$A$2:$A$601,$A10,'Theo dõi'!$D$2:$D$601,"Perplexity",'Theo dõi'!$F$2:$F$601,"Có",'Theo dõi'!$B$2:$B$601,"Q19")-COUNTIFS('Theo dõi'!$A$2:$A$601,$A10,'Theo dõi'!$D$2:$D$601,"Perplexity",'Theo dõi'!$F$2:$F$601,"Có",'Theo dõi'!$B$2:$B$601,"Q20"))/(COUNTIFS('Theo dõi'!$A$2:$A$601,$A10,'Theo dõi'!$D$2:$D$601,"Perplexity")-COUNTIFS('Theo dõi'!$A$2:$A$601,$A10,'Theo dõi'!$D$2:$D$601,"Perplexity",'Theo dõi'!$B$2:$B$601,"Q18")-COUNTIFS('Theo dõi'!$A$2:$A$601,$A10,'Theo dõi'!$D$2:$D$601,"Perplexity",'Theo dõi'!$B$2:$B$601,"Q19")-COUNTIFS('Theo dõi'!$A$2:$A$601,$A10,'Theo dõi'!$D$2:$D$601,"Perplexity",'Theo dõi'!$B$2:$B$601,"Q20")))</f>
        <v/>
      </c>
      <c r="E10" s="16" t="str">
        <f aca="false">IF((COUNTIFS('Theo dõi'!$A$2:$A$601,$A10,'Theo dõi'!$D$2:$D$601,"Gemini")-COUNTIFS('Theo dõi'!$A$2:$A$601,$A10,'Theo dõi'!$D$2:$D$601,"Gemini",'Theo dõi'!$B$2:$B$601,"Q18")-COUNTIFS('Theo dõi'!$A$2:$A$601,$A10,'Theo dõi'!$D$2:$D$601,"Gemini",'Theo dõi'!$B$2:$B$601,"Q19")-COUNTIFS('Theo dõi'!$A$2:$A$601,$A10,'Theo dõi'!$D$2:$D$601,"Gemini",'Theo dõi'!$B$2:$B$601,"Q20"))=0,"",(COUNTIFS('Theo dõi'!$A$2:$A$601,$A10,'Theo dõi'!$D$2:$D$601,"Gemini",'Theo dõi'!$F$2:$F$601,"Có")-COUNTIFS('Theo dõi'!$A$2:$A$601,$A10,'Theo dõi'!$D$2:$D$601,"Gemini",'Theo dõi'!$F$2:$F$601,"Có",'Theo dõi'!$B$2:$B$601,"Q18")-COUNTIFS('Theo dõi'!$A$2:$A$601,$A10,'Theo dõi'!$D$2:$D$601,"Gemini",'Theo dõi'!$F$2:$F$601,"Có",'Theo dõi'!$B$2:$B$601,"Q19")-COUNTIFS('Theo dõi'!$A$2:$A$601,$A10,'Theo dõi'!$D$2:$D$601,"Gemini",'Theo dõi'!$F$2:$F$601,"Có",'Theo dõi'!$B$2:$B$601,"Q20"))/(COUNTIFS('Theo dõi'!$A$2:$A$601,$A10,'Theo dõi'!$D$2:$D$601,"Gemini")-COUNTIFS('Theo dõi'!$A$2:$A$601,$A10,'Theo dõi'!$D$2:$D$601,"Gemini",'Theo dõi'!$B$2:$B$601,"Q18")-COUNTIFS('Theo dõi'!$A$2:$A$601,$A10,'Theo dõi'!$D$2:$D$601,"Gemini",'Theo dõi'!$B$2:$B$601,"Q19")-COUNTIFS('Theo dõi'!$A$2:$A$601,$A10,'Theo dõi'!$D$2:$D$601,"Gemini",'Theo dõi'!$B$2:$B$601,"Q20")))</f>
        <v/>
      </c>
      <c r="F10" s="16" t="str">
        <f aca="false">IF((COUNTIFS('Theo dõi'!$A$2:$A$601,$A10,'Theo dõi'!$D$2:$D$601,"Google AI Overview")-COUNTIFS('Theo dõi'!$A$2:$A$601,$A10,'Theo dõi'!$D$2:$D$601,"Google AI Overview",'Theo dõi'!$B$2:$B$601,"Q18")-COUNTIFS('Theo dõi'!$A$2:$A$601,$A10,'Theo dõi'!$D$2:$D$601,"Google AI Overview",'Theo dõi'!$B$2:$B$601,"Q19")-COUNTIFS('Theo dõi'!$A$2:$A$601,$A10,'Theo dõi'!$D$2:$D$601,"Google AI Overview",'Theo dõi'!$B$2:$B$601,"Q20"))=0,"",(COUNTIFS('Theo dõi'!$A$2:$A$601,$A10,'Theo dõi'!$D$2:$D$601,"Google AI Overview",'Theo dõi'!$F$2:$F$601,"Có")-COUNTIFS('Theo dõi'!$A$2:$A$601,$A10,'Theo dõi'!$D$2:$D$601,"Google AI Overview",'Theo dõi'!$F$2:$F$601,"Có",'Theo dõi'!$B$2:$B$601,"Q18")-COUNTIFS('Theo dõi'!$A$2:$A$601,$A10,'Theo dõi'!$D$2:$D$601,"Google AI Overview",'Theo dõi'!$F$2:$F$601,"Có",'Theo dõi'!$B$2:$B$601,"Q19")-COUNTIFS('Theo dõi'!$A$2:$A$601,$A10,'Theo dõi'!$D$2:$D$601,"Google AI Overview",'Theo dõi'!$F$2:$F$601,"Có",'Theo dõi'!$B$2:$B$601,"Q20"))/(COUNTIFS('Theo dõi'!$A$2:$A$601,$A10,'Theo dõi'!$D$2:$D$601,"Google AI Overview")-COUNTIFS('Theo dõi'!$A$2:$A$601,$A10,'Theo dõi'!$D$2:$D$601,"Google AI Overview",'Theo dõi'!$B$2:$B$601,"Q18")-COUNTIFS('Theo dõi'!$A$2:$A$601,$A10,'Theo dõi'!$D$2:$D$601,"Google AI Overview",'Theo dõi'!$B$2:$B$601,"Q19")-COUNTIFS('Theo dõi'!$A$2:$A$601,$A10,'Theo dõi'!$D$2:$D$601,"Google AI Overview",'Theo dõi'!$B$2:$B$601,"Q20")))</f>
        <v/>
      </c>
      <c r="G10" s="16" t="str">
        <f aca="false">IF((COUNTIFS('Theo dõi'!$A$2:$A$601,$A10,'Theo dõi'!$D$2:$D$601,"Copilot")-COUNTIFS('Theo dõi'!$A$2:$A$601,$A10,'Theo dõi'!$D$2:$D$601,"Copilot",'Theo dõi'!$B$2:$B$601,"Q18")-COUNTIFS('Theo dõi'!$A$2:$A$601,$A10,'Theo dõi'!$D$2:$D$601,"Copilot",'Theo dõi'!$B$2:$B$601,"Q19")-COUNTIFS('Theo dõi'!$A$2:$A$601,$A10,'Theo dõi'!$D$2:$D$601,"Copilot",'Theo dõi'!$B$2:$B$601,"Q20"))=0,"",(COUNTIFS('Theo dõi'!$A$2:$A$601,$A10,'Theo dõi'!$D$2:$D$601,"Copilot",'Theo dõi'!$F$2:$F$601,"Có")-COUNTIFS('Theo dõi'!$A$2:$A$601,$A10,'Theo dõi'!$D$2:$D$601,"Copilot",'Theo dõi'!$F$2:$F$601,"Có",'Theo dõi'!$B$2:$B$601,"Q18")-COUNTIFS('Theo dõi'!$A$2:$A$601,$A10,'Theo dõi'!$D$2:$D$601,"Copilot",'Theo dõi'!$F$2:$F$601,"Có",'Theo dõi'!$B$2:$B$601,"Q19")-COUNTIFS('Theo dõi'!$A$2:$A$601,$A10,'Theo dõi'!$D$2:$D$601,"Copilot",'Theo dõi'!$F$2:$F$601,"Có",'Theo dõi'!$B$2:$B$601,"Q20"))/(COUNTIFS('Theo dõi'!$A$2:$A$601,$A10,'Theo dõi'!$D$2:$D$601,"Copilot")-COUNTIFS('Theo dõi'!$A$2:$A$601,$A10,'Theo dõi'!$D$2:$D$601,"Copilot",'Theo dõi'!$B$2:$B$601,"Q18")-COUNTIFS('Theo dõi'!$A$2:$A$601,$A10,'Theo dõi'!$D$2:$D$601,"Copilot",'Theo dõi'!$B$2:$B$601,"Q19")-COUNTIFS('Theo dõi'!$A$2:$A$601,$A10,'Theo dõi'!$D$2:$D$601,"Copilot",'Theo dõi'!$B$2:$B$601,"Q20")))</f>
        <v/>
      </c>
      <c r="H10" s="17" t="str">
        <f aca="false">IF((COUNTIFS('Theo dõi'!$A$2:$A$601,$A10,'Theo dõi'!$D$2:$D$601,"&lt;&gt;")-COUNTIFS('Theo dõi'!$A$2:$A$601,$A10,'Theo dõi'!$D$2:$D$601,"&lt;&gt;",'Theo dõi'!$B$2:$B$601,"Q18")-COUNTIFS('Theo dõi'!$A$2:$A$601,$A10,'Theo dõi'!$D$2:$D$601,"&lt;&gt;",'Theo dõi'!$B$2:$B$601,"Q19")-COUNTIFS('Theo dõi'!$A$2:$A$601,$A10,'Theo dõi'!$D$2:$D$601,"&lt;&gt;",'Theo dõi'!$B$2:$B$601,"Q20"))=0,"",(COUNTIFS('Theo dõi'!$A$2:$A$601,$A10,'Theo dõi'!$D$2:$D$601,"&lt;&gt;",'Theo dõi'!$F$2:$F$601,"Có")-COUNTIFS('Theo dõi'!$A$2:$A$601,$A10,'Theo dõi'!$D$2:$D$601,"&lt;&gt;",'Theo dõi'!$F$2:$F$601,"Có",'Theo dõi'!$B$2:$B$601,"Q18")-COUNTIFS('Theo dõi'!$A$2:$A$601,$A10,'Theo dõi'!$D$2:$D$601,"&lt;&gt;",'Theo dõi'!$F$2:$F$601,"Có",'Theo dõi'!$B$2:$B$601,"Q19")-COUNTIFS('Theo dõi'!$A$2:$A$601,$A10,'Theo dõi'!$D$2:$D$601,"&lt;&gt;",'Theo dõi'!$F$2:$F$601,"Có",'Theo dõi'!$B$2:$B$601,"Q20"))/(COUNTIFS('Theo dõi'!$A$2:$A$601,$A10,'Theo dõi'!$D$2:$D$601,"&lt;&gt;")-COUNTIFS('Theo dõi'!$A$2:$A$601,$A10,'Theo dõi'!$D$2:$D$601,"&lt;&gt;",'Theo dõi'!$B$2:$B$601,"Q18")-COUNTIFS('Theo dõi'!$A$2:$A$601,$A10,'Theo dõi'!$D$2:$D$601,"&lt;&gt;",'Theo dõi'!$B$2:$B$601,"Q19")-COUNTIFS('Theo dõi'!$A$2:$A$601,$A10,'Theo dõi'!$D$2:$D$601,"&lt;&gt;",'Theo dõi'!$B$2:$B$601,"Q20")))</f>
        <v/>
      </c>
    </row>
    <row r="11" customFormat="false" ht="15" hidden="false" customHeight="false" outlineLevel="0" collapsed="false">
      <c r="A11" s="14" t="s">
        <v>132</v>
      </c>
      <c r="B11" s="15" t="n">
        <f aca="false">COUNTIFS('Theo dõi'!$A$2:$A$601,$A11,'Theo dõi'!$D$2:$D$601,"&lt;&gt;")-COUNTIFS('Theo dõi'!$A$2:$A$601,$A11,'Theo dõi'!$D$2:$D$601,"&lt;&gt;",'Theo dõi'!$B$2:$B$601,"Q18")-COUNTIFS('Theo dõi'!$A$2:$A$601,$A11,'Theo dõi'!$D$2:$D$601,"&lt;&gt;",'Theo dõi'!$B$2:$B$601,"Q19")-COUNTIFS('Theo dõi'!$A$2:$A$601,$A11,'Theo dõi'!$D$2:$D$601,"&lt;&gt;",'Theo dõi'!$B$2:$B$601,"Q20")</f>
        <v>0</v>
      </c>
      <c r="C11" s="16" t="str">
        <f aca="false">IF((COUNTIFS('Theo dõi'!$A$2:$A$601,$A11,'Theo dõi'!$D$2:$D$601,"ChatGPT")-COUNTIFS('Theo dõi'!$A$2:$A$601,$A11,'Theo dõi'!$D$2:$D$601,"ChatGPT",'Theo dõi'!$B$2:$B$601,"Q18")-COUNTIFS('Theo dõi'!$A$2:$A$601,$A11,'Theo dõi'!$D$2:$D$601,"ChatGPT",'Theo dõi'!$B$2:$B$601,"Q19")-COUNTIFS('Theo dõi'!$A$2:$A$601,$A11,'Theo dõi'!$D$2:$D$601,"ChatGPT",'Theo dõi'!$B$2:$B$601,"Q20"))=0,"",(COUNTIFS('Theo dõi'!$A$2:$A$601,$A11,'Theo dõi'!$D$2:$D$601,"ChatGPT",'Theo dõi'!$F$2:$F$601,"Có")-COUNTIFS('Theo dõi'!$A$2:$A$601,$A11,'Theo dõi'!$D$2:$D$601,"ChatGPT",'Theo dõi'!$F$2:$F$601,"Có",'Theo dõi'!$B$2:$B$601,"Q18")-COUNTIFS('Theo dõi'!$A$2:$A$601,$A11,'Theo dõi'!$D$2:$D$601,"ChatGPT",'Theo dõi'!$F$2:$F$601,"Có",'Theo dõi'!$B$2:$B$601,"Q19")-COUNTIFS('Theo dõi'!$A$2:$A$601,$A11,'Theo dõi'!$D$2:$D$601,"ChatGPT",'Theo dõi'!$F$2:$F$601,"Có",'Theo dõi'!$B$2:$B$601,"Q20"))/(COUNTIFS('Theo dõi'!$A$2:$A$601,$A11,'Theo dõi'!$D$2:$D$601,"ChatGPT")-COUNTIFS('Theo dõi'!$A$2:$A$601,$A11,'Theo dõi'!$D$2:$D$601,"ChatGPT",'Theo dõi'!$B$2:$B$601,"Q18")-COUNTIFS('Theo dõi'!$A$2:$A$601,$A11,'Theo dõi'!$D$2:$D$601,"ChatGPT",'Theo dõi'!$B$2:$B$601,"Q19")-COUNTIFS('Theo dõi'!$A$2:$A$601,$A11,'Theo dõi'!$D$2:$D$601,"ChatGPT",'Theo dõi'!$B$2:$B$601,"Q20")))</f>
        <v/>
      </c>
      <c r="D11" s="16" t="str">
        <f aca="false">IF((COUNTIFS('Theo dõi'!$A$2:$A$601,$A11,'Theo dõi'!$D$2:$D$601,"Perplexity")-COUNTIFS('Theo dõi'!$A$2:$A$601,$A11,'Theo dõi'!$D$2:$D$601,"Perplexity",'Theo dõi'!$B$2:$B$601,"Q18")-COUNTIFS('Theo dõi'!$A$2:$A$601,$A11,'Theo dõi'!$D$2:$D$601,"Perplexity",'Theo dõi'!$B$2:$B$601,"Q19")-COUNTIFS('Theo dõi'!$A$2:$A$601,$A11,'Theo dõi'!$D$2:$D$601,"Perplexity",'Theo dõi'!$B$2:$B$601,"Q20"))=0,"",(COUNTIFS('Theo dõi'!$A$2:$A$601,$A11,'Theo dõi'!$D$2:$D$601,"Perplexity",'Theo dõi'!$F$2:$F$601,"Có")-COUNTIFS('Theo dõi'!$A$2:$A$601,$A11,'Theo dõi'!$D$2:$D$601,"Perplexity",'Theo dõi'!$F$2:$F$601,"Có",'Theo dõi'!$B$2:$B$601,"Q18")-COUNTIFS('Theo dõi'!$A$2:$A$601,$A11,'Theo dõi'!$D$2:$D$601,"Perplexity",'Theo dõi'!$F$2:$F$601,"Có",'Theo dõi'!$B$2:$B$601,"Q19")-COUNTIFS('Theo dõi'!$A$2:$A$601,$A11,'Theo dõi'!$D$2:$D$601,"Perplexity",'Theo dõi'!$F$2:$F$601,"Có",'Theo dõi'!$B$2:$B$601,"Q20"))/(COUNTIFS('Theo dõi'!$A$2:$A$601,$A11,'Theo dõi'!$D$2:$D$601,"Perplexity")-COUNTIFS('Theo dõi'!$A$2:$A$601,$A11,'Theo dõi'!$D$2:$D$601,"Perplexity",'Theo dõi'!$B$2:$B$601,"Q18")-COUNTIFS('Theo dõi'!$A$2:$A$601,$A11,'Theo dõi'!$D$2:$D$601,"Perplexity",'Theo dõi'!$B$2:$B$601,"Q19")-COUNTIFS('Theo dõi'!$A$2:$A$601,$A11,'Theo dõi'!$D$2:$D$601,"Perplexity",'Theo dõi'!$B$2:$B$601,"Q20")))</f>
        <v/>
      </c>
      <c r="E11" s="16" t="str">
        <f aca="false">IF((COUNTIFS('Theo dõi'!$A$2:$A$601,$A11,'Theo dõi'!$D$2:$D$601,"Gemini")-COUNTIFS('Theo dõi'!$A$2:$A$601,$A11,'Theo dõi'!$D$2:$D$601,"Gemini",'Theo dõi'!$B$2:$B$601,"Q18")-COUNTIFS('Theo dõi'!$A$2:$A$601,$A11,'Theo dõi'!$D$2:$D$601,"Gemini",'Theo dõi'!$B$2:$B$601,"Q19")-COUNTIFS('Theo dõi'!$A$2:$A$601,$A11,'Theo dõi'!$D$2:$D$601,"Gemini",'Theo dõi'!$B$2:$B$601,"Q20"))=0,"",(COUNTIFS('Theo dõi'!$A$2:$A$601,$A11,'Theo dõi'!$D$2:$D$601,"Gemini",'Theo dõi'!$F$2:$F$601,"Có")-COUNTIFS('Theo dõi'!$A$2:$A$601,$A11,'Theo dõi'!$D$2:$D$601,"Gemini",'Theo dõi'!$F$2:$F$601,"Có",'Theo dõi'!$B$2:$B$601,"Q18")-COUNTIFS('Theo dõi'!$A$2:$A$601,$A11,'Theo dõi'!$D$2:$D$601,"Gemini",'Theo dõi'!$F$2:$F$601,"Có",'Theo dõi'!$B$2:$B$601,"Q19")-COUNTIFS('Theo dõi'!$A$2:$A$601,$A11,'Theo dõi'!$D$2:$D$601,"Gemini",'Theo dõi'!$F$2:$F$601,"Có",'Theo dõi'!$B$2:$B$601,"Q20"))/(COUNTIFS('Theo dõi'!$A$2:$A$601,$A11,'Theo dõi'!$D$2:$D$601,"Gemini")-COUNTIFS('Theo dõi'!$A$2:$A$601,$A11,'Theo dõi'!$D$2:$D$601,"Gemini",'Theo dõi'!$B$2:$B$601,"Q18")-COUNTIFS('Theo dõi'!$A$2:$A$601,$A11,'Theo dõi'!$D$2:$D$601,"Gemini",'Theo dõi'!$B$2:$B$601,"Q19")-COUNTIFS('Theo dõi'!$A$2:$A$601,$A11,'Theo dõi'!$D$2:$D$601,"Gemini",'Theo dõi'!$B$2:$B$601,"Q20")))</f>
        <v/>
      </c>
      <c r="F11" s="16" t="str">
        <f aca="false">IF((COUNTIFS('Theo dõi'!$A$2:$A$601,$A11,'Theo dõi'!$D$2:$D$601,"Google AI Overview")-COUNTIFS('Theo dõi'!$A$2:$A$601,$A11,'Theo dõi'!$D$2:$D$601,"Google AI Overview",'Theo dõi'!$B$2:$B$601,"Q18")-COUNTIFS('Theo dõi'!$A$2:$A$601,$A11,'Theo dõi'!$D$2:$D$601,"Google AI Overview",'Theo dõi'!$B$2:$B$601,"Q19")-COUNTIFS('Theo dõi'!$A$2:$A$601,$A11,'Theo dõi'!$D$2:$D$601,"Google AI Overview",'Theo dõi'!$B$2:$B$601,"Q20"))=0,"",(COUNTIFS('Theo dõi'!$A$2:$A$601,$A11,'Theo dõi'!$D$2:$D$601,"Google AI Overview",'Theo dõi'!$F$2:$F$601,"Có")-COUNTIFS('Theo dõi'!$A$2:$A$601,$A11,'Theo dõi'!$D$2:$D$601,"Google AI Overview",'Theo dõi'!$F$2:$F$601,"Có",'Theo dõi'!$B$2:$B$601,"Q18")-COUNTIFS('Theo dõi'!$A$2:$A$601,$A11,'Theo dõi'!$D$2:$D$601,"Google AI Overview",'Theo dõi'!$F$2:$F$601,"Có",'Theo dõi'!$B$2:$B$601,"Q19")-COUNTIFS('Theo dõi'!$A$2:$A$601,$A11,'Theo dõi'!$D$2:$D$601,"Google AI Overview",'Theo dõi'!$F$2:$F$601,"Có",'Theo dõi'!$B$2:$B$601,"Q20"))/(COUNTIFS('Theo dõi'!$A$2:$A$601,$A11,'Theo dõi'!$D$2:$D$601,"Google AI Overview")-COUNTIFS('Theo dõi'!$A$2:$A$601,$A11,'Theo dõi'!$D$2:$D$601,"Google AI Overview",'Theo dõi'!$B$2:$B$601,"Q18")-COUNTIFS('Theo dõi'!$A$2:$A$601,$A11,'Theo dõi'!$D$2:$D$601,"Google AI Overview",'Theo dõi'!$B$2:$B$601,"Q19")-COUNTIFS('Theo dõi'!$A$2:$A$601,$A11,'Theo dõi'!$D$2:$D$601,"Google AI Overview",'Theo dõi'!$B$2:$B$601,"Q20")))</f>
        <v/>
      </c>
      <c r="G11" s="16" t="str">
        <f aca="false">IF((COUNTIFS('Theo dõi'!$A$2:$A$601,$A11,'Theo dõi'!$D$2:$D$601,"Copilot")-COUNTIFS('Theo dõi'!$A$2:$A$601,$A11,'Theo dõi'!$D$2:$D$601,"Copilot",'Theo dõi'!$B$2:$B$601,"Q18")-COUNTIFS('Theo dõi'!$A$2:$A$601,$A11,'Theo dõi'!$D$2:$D$601,"Copilot",'Theo dõi'!$B$2:$B$601,"Q19")-COUNTIFS('Theo dõi'!$A$2:$A$601,$A11,'Theo dõi'!$D$2:$D$601,"Copilot",'Theo dõi'!$B$2:$B$601,"Q20"))=0,"",(COUNTIFS('Theo dõi'!$A$2:$A$601,$A11,'Theo dõi'!$D$2:$D$601,"Copilot",'Theo dõi'!$F$2:$F$601,"Có")-COUNTIFS('Theo dõi'!$A$2:$A$601,$A11,'Theo dõi'!$D$2:$D$601,"Copilot",'Theo dõi'!$F$2:$F$601,"Có",'Theo dõi'!$B$2:$B$601,"Q18")-COUNTIFS('Theo dõi'!$A$2:$A$601,$A11,'Theo dõi'!$D$2:$D$601,"Copilot",'Theo dõi'!$F$2:$F$601,"Có",'Theo dõi'!$B$2:$B$601,"Q19")-COUNTIFS('Theo dõi'!$A$2:$A$601,$A11,'Theo dõi'!$D$2:$D$601,"Copilot",'Theo dõi'!$F$2:$F$601,"Có",'Theo dõi'!$B$2:$B$601,"Q20"))/(COUNTIFS('Theo dõi'!$A$2:$A$601,$A11,'Theo dõi'!$D$2:$D$601,"Copilot")-COUNTIFS('Theo dõi'!$A$2:$A$601,$A11,'Theo dõi'!$D$2:$D$601,"Copilot",'Theo dõi'!$B$2:$B$601,"Q18")-COUNTIFS('Theo dõi'!$A$2:$A$601,$A11,'Theo dõi'!$D$2:$D$601,"Copilot",'Theo dõi'!$B$2:$B$601,"Q19")-COUNTIFS('Theo dõi'!$A$2:$A$601,$A11,'Theo dõi'!$D$2:$D$601,"Copilot",'Theo dõi'!$B$2:$B$601,"Q20")))</f>
        <v/>
      </c>
      <c r="H11" s="17" t="str">
        <f aca="false">IF((COUNTIFS('Theo dõi'!$A$2:$A$601,$A11,'Theo dõi'!$D$2:$D$601,"&lt;&gt;")-COUNTIFS('Theo dõi'!$A$2:$A$601,$A11,'Theo dõi'!$D$2:$D$601,"&lt;&gt;",'Theo dõi'!$B$2:$B$601,"Q18")-COUNTIFS('Theo dõi'!$A$2:$A$601,$A11,'Theo dõi'!$D$2:$D$601,"&lt;&gt;",'Theo dõi'!$B$2:$B$601,"Q19")-COUNTIFS('Theo dõi'!$A$2:$A$601,$A11,'Theo dõi'!$D$2:$D$601,"&lt;&gt;",'Theo dõi'!$B$2:$B$601,"Q20"))=0,"",(COUNTIFS('Theo dõi'!$A$2:$A$601,$A11,'Theo dõi'!$D$2:$D$601,"&lt;&gt;",'Theo dõi'!$F$2:$F$601,"Có")-COUNTIFS('Theo dõi'!$A$2:$A$601,$A11,'Theo dõi'!$D$2:$D$601,"&lt;&gt;",'Theo dõi'!$F$2:$F$601,"Có",'Theo dõi'!$B$2:$B$601,"Q18")-COUNTIFS('Theo dõi'!$A$2:$A$601,$A11,'Theo dõi'!$D$2:$D$601,"&lt;&gt;",'Theo dõi'!$F$2:$F$601,"Có",'Theo dõi'!$B$2:$B$601,"Q19")-COUNTIFS('Theo dõi'!$A$2:$A$601,$A11,'Theo dõi'!$D$2:$D$601,"&lt;&gt;",'Theo dõi'!$F$2:$F$601,"Có",'Theo dõi'!$B$2:$B$601,"Q20"))/(COUNTIFS('Theo dõi'!$A$2:$A$601,$A11,'Theo dõi'!$D$2:$D$601,"&lt;&gt;")-COUNTIFS('Theo dõi'!$A$2:$A$601,$A11,'Theo dõi'!$D$2:$D$601,"&lt;&gt;",'Theo dõi'!$B$2:$B$601,"Q18")-COUNTIFS('Theo dõi'!$A$2:$A$601,$A11,'Theo dõi'!$D$2:$D$601,"&lt;&gt;",'Theo dõi'!$B$2:$B$601,"Q19")-COUNTIFS('Theo dõi'!$A$2:$A$601,$A11,'Theo dõi'!$D$2:$D$601,"&lt;&gt;",'Theo dõi'!$B$2:$B$601,"Q20")))</f>
        <v/>
      </c>
    </row>
    <row r="12" customFormat="false" ht="15" hidden="false" customHeight="false" outlineLevel="0" collapsed="false">
      <c r="A12" s="14" t="s">
        <v>133</v>
      </c>
      <c r="B12" s="15" t="n">
        <f aca="false">COUNTIFS('Theo dõi'!$A$2:$A$601,$A12,'Theo dõi'!$D$2:$D$601,"&lt;&gt;")-COUNTIFS('Theo dõi'!$A$2:$A$601,$A12,'Theo dõi'!$D$2:$D$601,"&lt;&gt;",'Theo dõi'!$B$2:$B$601,"Q18")-COUNTIFS('Theo dõi'!$A$2:$A$601,$A12,'Theo dõi'!$D$2:$D$601,"&lt;&gt;",'Theo dõi'!$B$2:$B$601,"Q19")-COUNTIFS('Theo dõi'!$A$2:$A$601,$A12,'Theo dõi'!$D$2:$D$601,"&lt;&gt;",'Theo dõi'!$B$2:$B$601,"Q20")</f>
        <v>0</v>
      </c>
      <c r="C12" s="16" t="str">
        <f aca="false">IF((COUNTIFS('Theo dõi'!$A$2:$A$601,$A12,'Theo dõi'!$D$2:$D$601,"ChatGPT")-COUNTIFS('Theo dõi'!$A$2:$A$601,$A12,'Theo dõi'!$D$2:$D$601,"ChatGPT",'Theo dõi'!$B$2:$B$601,"Q18")-COUNTIFS('Theo dõi'!$A$2:$A$601,$A12,'Theo dõi'!$D$2:$D$601,"ChatGPT",'Theo dõi'!$B$2:$B$601,"Q19")-COUNTIFS('Theo dõi'!$A$2:$A$601,$A12,'Theo dõi'!$D$2:$D$601,"ChatGPT",'Theo dõi'!$B$2:$B$601,"Q20"))=0,"",(COUNTIFS('Theo dõi'!$A$2:$A$601,$A12,'Theo dõi'!$D$2:$D$601,"ChatGPT",'Theo dõi'!$F$2:$F$601,"Có")-COUNTIFS('Theo dõi'!$A$2:$A$601,$A12,'Theo dõi'!$D$2:$D$601,"ChatGPT",'Theo dõi'!$F$2:$F$601,"Có",'Theo dõi'!$B$2:$B$601,"Q18")-COUNTIFS('Theo dõi'!$A$2:$A$601,$A12,'Theo dõi'!$D$2:$D$601,"ChatGPT",'Theo dõi'!$F$2:$F$601,"Có",'Theo dõi'!$B$2:$B$601,"Q19")-COUNTIFS('Theo dõi'!$A$2:$A$601,$A12,'Theo dõi'!$D$2:$D$601,"ChatGPT",'Theo dõi'!$F$2:$F$601,"Có",'Theo dõi'!$B$2:$B$601,"Q20"))/(COUNTIFS('Theo dõi'!$A$2:$A$601,$A12,'Theo dõi'!$D$2:$D$601,"ChatGPT")-COUNTIFS('Theo dõi'!$A$2:$A$601,$A12,'Theo dõi'!$D$2:$D$601,"ChatGPT",'Theo dõi'!$B$2:$B$601,"Q18")-COUNTIFS('Theo dõi'!$A$2:$A$601,$A12,'Theo dõi'!$D$2:$D$601,"ChatGPT",'Theo dõi'!$B$2:$B$601,"Q19")-COUNTIFS('Theo dõi'!$A$2:$A$601,$A12,'Theo dõi'!$D$2:$D$601,"ChatGPT",'Theo dõi'!$B$2:$B$601,"Q20")))</f>
        <v/>
      </c>
      <c r="D12" s="16" t="str">
        <f aca="false">IF((COUNTIFS('Theo dõi'!$A$2:$A$601,$A12,'Theo dõi'!$D$2:$D$601,"Perplexity")-COUNTIFS('Theo dõi'!$A$2:$A$601,$A12,'Theo dõi'!$D$2:$D$601,"Perplexity",'Theo dõi'!$B$2:$B$601,"Q18")-COUNTIFS('Theo dõi'!$A$2:$A$601,$A12,'Theo dõi'!$D$2:$D$601,"Perplexity",'Theo dõi'!$B$2:$B$601,"Q19")-COUNTIFS('Theo dõi'!$A$2:$A$601,$A12,'Theo dõi'!$D$2:$D$601,"Perplexity",'Theo dõi'!$B$2:$B$601,"Q20"))=0,"",(COUNTIFS('Theo dõi'!$A$2:$A$601,$A12,'Theo dõi'!$D$2:$D$601,"Perplexity",'Theo dõi'!$F$2:$F$601,"Có")-COUNTIFS('Theo dõi'!$A$2:$A$601,$A12,'Theo dõi'!$D$2:$D$601,"Perplexity",'Theo dõi'!$F$2:$F$601,"Có",'Theo dõi'!$B$2:$B$601,"Q18")-COUNTIFS('Theo dõi'!$A$2:$A$601,$A12,'Theo dõi'!$D$2:$D$601,"Perplexity",'Theo dõi'!$F$2:$F$601,"Có",'Theo dõi'!$B$2:$B$601,"Q19")-COUNTIFS('Theo dõi'!$A$2:$A$601,$A12,'Theo dõi'!$D$2:$D$601,"Perplexity",'Theo dõi'!$F$2:$F$601,"Có",'Theo dõi'!$B$2:$B$601,"Q20"))/(COUNTIFS('Theo dõi'!$A$2:$A$601,$A12,'Theo dõi'!$D$2:$D$601,"Perplexity")-COUNTIFS('Theo dõi'!$A$2:$A$601,$A12,'Theo dõi'!$D$2:$D$601,"Perplexity",'Theo dõi'!$B$2:$B$601,"Q18")-COUNTIFS('Theo dõi'!$A$2:$A$601,$A12,'Theo dõi'!$D$2:$D$601,"Perplexity",'Theo dõi'!$B$2:$B$601,"Q19")-COUNTIFS('Theo dõi'!$A$2:$A$601,$A12,'Theo dõi'!$D$2:$D$601,"Perplexity",'Theo dõi'!$B$2:$B$601,"Q20")))</f>
        <v/>
      </c>
      <c r="E12" s="16" t="str">
        <f aca="false">IF((COUNTIFS('Theo dõi'!$A$2:$A$601,$A12,'Theo dõi'!$D$2:$D$601,"Gemini")-COUNTIFS('Theo dõi'!$A$2:$A$601,$A12,'Theo dõi'!$D$2:$D$601,"Gemini",'Theo dõi'!$B$2:$B$601,"Q18")-COUNTIFS('Theo dõi'!$A$2:$A$601,$A12,'Theo dõi'!$D$2:$D$601,"Gemini",'Theo dõi'!$B$2:$B$601,"Q19")-COUNTIFS('Theo dõi'!$A$2:$A$601,$A12,'Theo dõi'!$D$2:$D$601,"Gemini",'Theo dõi'!$B$2:$B$601,"Q20"))=0,"",(COUNTIFS('Theo dõi'!$A$2:$A$601,$A12,'Theo dõi'!$D$2:$D$601,"Gemini",'Theo dõi'!$F$2:$F$601,"Có")-COUNTIFS('Theo dõi'!$A$2:$A$601,$A12,'Theo dõi'!$D$2:$D$601,"Gemini",'Theo dõi'!$F$2:$F$601,"Có",'Theo dõi'!$B$2:$B$601,"Q18")-COUNTIFS('Theo dõi'!$A$2:$A$601,$A12,'Theo dõi'!$D$2:$D$601,"Gemini",'Theo dõi'!$F$2:$F$601,"Có",'Theo dõi'!$B$2:$B$601,"Q19")-COUNTIFS('Theo dõi'!$A$2:$A$601,$A12,'Theo dõi'!$D$2:$D$601,"Gemini",'Theo dõi'!$F$2:$F$601,"Có",'Theo dõi'!$B$2:$B$601,"Q20"))/(COUNTIFS('Theo dõi'!$A$2:$A$601,$A12,'Theo dõi'!$D$2:$D$601,"Gemini")-COUNTIFS('Theo dõi'!$A$2:$A$601,$A12,'Theo dõi'!$D$2:$D$601,"Gemini",'Theo dõi'!$B$2:$B$601,"Q18")-COUNTIFS('Theo dõi'!$A$2:$A$601,$A12,'Theo dõi'!$D$2:$D$601,"Gemini",'Theo dõi'!$B$2:$B$601,"Q19")-COUNTIFS('Theo dõi'!$A$2:$A$601,$A12,'Theo dõi'!$D$2:$D$601,"Gemini",'Theo dõi'!$B$2:$B$601,"Q20")))</f>
        <v/>
      </c>
      <c r="F12" s="16" t="str">
        <f aca="false">IF((COUNTIFS('Theo dõi'!$A$2:$A$601,$A12,'Theo dõi'!$D$2:$D$601,"Google AI Overview")-COUNTIFS('Theo dõi'!$A$2:$A$601,$A12,'Theo dõi'!$D$2:$D$601,"Google AI Overview",'Theo dõi'!$B$2:$B$601,"Q18")-COUNTIFS('Theo dõi'!$A$2:$A$601,$A12,'Theo dõi'!$D$2:$D$601,"Google AI Overview",'Theo dõi'!$B$2:$B$601,"Q19")-COUNTIFS('Theo dõi'!$A$2:$A$601,$A12,'Theo dõi'!$D$2:$D$601,"Google AI Overview",'Theo dõi'!$B$2:$B$601,"Q20"))=0,"",(COUNTIFS('Theo dõi'!$A$2:$A$601,$A12,'Theo dõi'!$D$2:$D$601,"Google AI Overview",'Theo dõi'!$F$2:$F$601,"Có")-COUNTIFS('Theo dõi'!$A$2:$A$601,$A12,'Theo dõi'!$D$2:$D$601,"Google AI Overview",'Theo dõi'!$F$2:$F$601,"Có",'Theo dõi'!$B$2:$B$601,"Q18")-COUNTIFS('Theo dõi'!$A$2:$A$601,$A12,'Theo dõi'!$D$2:$D$601,"Google AI Overview",'Theo dõi'!$F$2:$F$601,"Có",'Theo dõi'!$B$2:$B$601,"Q19")-COUNTIFS('Theo dõi'!$A$2:$A$601,$A12,'Theo dõi'!$D$2:$D$601,"Google AI Overview",'Theo dõi'!$F$2:$F$601,"Có",'Theo dõi'!$B$2:$B$601,"Q20"))/(COUNTIFS('Theo dõi'!$A$2:$A$601,$A12,'Theo dõi'!$D$2:$D$601,"Google AI Overview")-COUNTIFS('Theo dõi'!$A$2:$A$601,$A12,'Theo dõi'!$D$2:$D$601,"Google AI Overview",'Theo dõi'!$B$2:$B$601,"Q18")-COUNTIFS('Theo dõi'!$A$2:$A$601,$A12,'Theo dõi'!$D$2:$D$601,"Google AI Overview",'Theo dõi'!$B$2:$B$601,"Q19")-COUNTIFS('Theo dõi'!$A$2:$A$601,$A12,'Theo dõi'!$D$2:$D$601,"Google AI Overview",'Theo dõi'!$B$2:$B$601,"Q20")))</f>
        <v/>
      </c>
      <c r="G12" s="16" t="str">
        <f aca="false">IF((COUNTIFS('Theo dõi'!$A$2:$A$601,$A12,'Theo dõi'!$D$2:$D$601,"Copilot")-COUNTIFS('Theo dõi'!$A$2:$A$601,$A12,'Theo dõi'!$D$2:$D$601,"Copilot",'Theo dõi'!$B$2:$B$601,"Q18")-COUNTIFS('Theo dõi'!$A$2:$A$601,$A12,'Theo dõi'!$D$2:$D$601,"Copilot",'Theo dõi'!$B$2:$B$601,"Q19")-COUNTIFS('Theo dõi'!$A$2:$A$601,$A12,'Theo dõi'!$D$2:$D$601,"Copilot",'Theo dõi'!$B$2:$B$601,"Q20"))=0,"",(COUNTIFS('Theo dõi'!$A$2:$A$601,$A12,'Theo dõi'!$D$2:$D$601,"Copilot",'Theo dõi'!$F$2:$F$601,"Có")-COUNTIFS('Theo dõi'!$A$2:$A$601,$A12,'Theo dõi'!$D$2:$D$601,"Copilot",'Theo dõi'!$F$2:$F$601,"Có",'Theo dõi'!$B$2:$B$601,"Q18")-COUNTIFS('Theo dõi'!$A$2:$A$601,$A12,'Theo dõi'!$D$2:$D$601,"Copilot",'Theo dõi'!$F$2:$F$601,"Có",'Theo dõi'!$B$2:$B$601,"Q19")-COUNTIFS('Theo dõi'!$A$2:$A$601,$A12,'Theo dõi'!$D$2:$D$601,"Copilot",'Theo dõi'!$F$2:$F$601,"Có",'Theo dõi'!$B$2:$B$601,"Q20"))/(COUNTIFS('Theo dõi'!$A$2:$A$601,$A12,'Theo dõi'!$D$2:$D$601,"Copilot")-COUNTIFS('Theo dõi'!$A$2:$A$601,$A12,'Theo dõi'!$D$2:$D$601,"Copilot",'Theo dõi'!$B$2:$B$601,"Q18")-COUNTIFS('Theo dõi'!$A$2:$A$601,$A12,'Theo dõi'!$D$2:$D$601,"Copilot",'Theo dõi'!$B$2:$B$601,"Q19")-COUNTIFS('Theo dõi'!$A$2:$A$601,$A12,'Theo dõi'!$D$2:$D$601,"Copilot",'Theo dõi'!$B$2:$B$601,"Q20")))</f>
        <v/>
      </c>
      <c r="H12" s="17" t="str">
        <f aca="false">IF((COUNTIFS('Theo dõi'!$A$2:$A$601,$A12,'Theo dõi'!$D$2:$D$601,"&lt;&gt;")-COUNTIFS('Theo dõi'!$A$2:$A$601,$A12,'Theo dõi'!$D$2:$D$601,"&lt;&gt;",'Theo dõi'!$B$2:$B$601,"Q18")-COUNTIFS('Theo dõi'!$A$2:$A$601,$A12,'Theo dõi'!$D$2:$D$601,"&lt;&gt;",'Theo dõi'!$B$2:$B$601,"Q19")-COUNTIFS('Theo dõi'!$A$2:$A$601,$A12,'Theo dõi'!$D$2:$D$601,"&lt;&gt;",'Theo dõi'!$B$2:$B$601,"Q20"))=0,"",(COUNTIFS('Theo dõi'!$A$2:$A$601,$A12,'Theo dõi'!$D$2:$D$601,"&lt;&gt;",'Theo dõi'!$F$2:$F$601,"Có")-COUNTIFS('Theo dõi'!$A$2:$A$601,$A12,'Theo dõi'!$D$2:$D$601,"&lt;&gt;",'Theo dõi'!$F$2:$F$601,"Có",'Theo dõi'!$B$2:$B$601,"Q18")-COUNTIFS('Theo dõi'!$A$2:$A$601,$A12,'Theo dõi'!$D$2:$D$601,"&lt;&gt;",'Theo dõi'!$F$2:$F$601,"Có",'Theo dõi'!$B$2:$B$601,"Q19")-COUNTIFS('Theo dõi'!$A$2:$A$601,$A12,'Theo dõi'!$D$2:$D$601,"&lt;&gt;",'Theo dõi'!$F$2:$F$601,"Có",'Theo dõi'!$B$2:$B$601,"Q20"))/(COUNTIFS('Theo dõi'!$A$2:$A$601,$A12,'Theo dõi'!$D$2:$D$601,"&lt;&gt;")-COUNTIFS('Theo dõi'!$A$2:$A$601,$A12,'Theo dõi'!$D$2:$D$601,"&lt;&gt;",'Theo dõi'!$B$2:$B$601,"Q18")-COUNTIFS('Theo dõi'!$A$2:$A$601,$A12,'Theo dõi'!$D$2:$D$601,"&lt;&gt;",'Theo dõi'!$B$2:$B$601,"Q19")-COUNTIFS('Theo dõi'!$A$2:$A$601,$A12,'Theo dõi'!$D$2:$D$601,"&lt;&gt;",'Theo dõi'!$B$2:$B$601,"Q20")))</f>
        <v/>
      </c>
    </row>
    <row r="13" customFormat="false" ht="15" hidden="false" customHeight="false" outlineLevel="0" collapsed="false">
      <c r="A13" s="14" t="s">
        <v>134</v>
      </c>
      <c r="B13" s="15" t="n">
        <f aca="false">COUNTIFS('Theo dõi'!$A$2:$A$601,$A13,'Theo dõi'!$D$2:$D$601,"&lt;&gt;")-COUNTIFS('Theo dõi'!$A$2:$A$601,$A13,'Theo dõi'!$D$2:$D$601,"&lt;&gt;",'Theo dõi'!$B$2:$B$601,"Q18")-COUNTIFS('Theo dõi'!$A$2:$A$601,$A13,'Theo dõi'!$D$2:$D$601,"&lt;&gt;",'Theo dõi'!$B$2:$B$601,"Q19")-COUNTIFS('Theo dõi'!$A$2:$A$601,$A13,'Theo dõi'!$D$2:$D$601,"&lt;&gt;",'Theo dõi'!$B$2:$B$601,"Q20")</f>
        <v>0</v>
      </c>
      <c r="C13" s="16" t="str">
        <f aca="false">IF((COUNTIFS('Theo dõi'!$A$2:$A$601,$A13,'Theo dõi'!$D$2:$D$601,"ChatGPT")-COUNTIFS('Theo dõi'!$A$2:$A$601,$A13,'Theo dõi'!$D$2:$D$601,"ChatGPT",'Theo dõi'!$B$2:$B$601,"Q18")-COUNTIFS('Theo dõi'!$A$2:$A$601,$A13,'Theo dõi'!$D$2:$D$601,"ChatGPT",'Theo dõi'!$B$2:$B$601,"Q19")-COUNTIFS('Theo dõi'!$A$2:$A$601,$A13,'Theo dõi'!$D$2:$D$601,"ChatGPT",'Theo dõi'!$B$2:$B$601,"Q20"))=0,"",(COUNTIFS('Theo dõi'!$A$2:$A$601,$A13,'Theo dõi'!$D$2:$D$601,"ChatGPT",'Theo dõi'!$F$2:$F$601,"Có")-COUNTIFS('Theo dõi'!$A$2:$A$601,$A13,'Theo dõi'!$D$2:$D$601,"ChatGPT",'Theo dõi'!$F$2:$F$601,"Có",'Theo dõi'!$B$2:$B$601,"Q18")-COUNTIFS('Theo dõi'!$A$2:$A$601,$A13,'Theo dõi'!$D$2:$D$601,"ChatGPT",'Theo dõi'!$F$2:$F$601,"Có",'Theo dõi'!$B$2:$B$601,"Q19")-COUNTIFS('Theo dõi'!$A$2:$A$601,$A13,'Theo dõi'!$D$2:$D$601,"ChatGPT",'Theo dõi'!$F$2:$F$601,"Có",'Theo dõi'!$B$2:$B$601,"Q20"))/(COUNTIFS('Theo dõi'!$A$2:$A$601,$A13,'Theo dõi'!$D$2:$D$601,"ChatGPT")-COUNTIFS('Theo dõi'!$A$2:$A$601,$A13,'Theo dõi'!$D$2:$D$601,"ChatGPT",'Theo dõi'!$B$2:$B$601,"Q18")-COUNTIFS('Theo dõi'!$A$2:$A$601,$A13,'Theo dõi'!$D$2:$D$601,"ChatGPT",'Theo dõi'!$B$2:$B$601,"Q19")-COUNTIFS('Theo dõi'!$A$2:$A$601,$A13,'Theo dõi'!$D$2:$D$601,"ChatGPT",'Theo dõi'!$B$2:$B$601,"Q20")))</f>
        <v/>
      </c>
      <c r="D13" s="16" t="str">
        <f aca="false">IF((COUNTIFS('Theo dõi'!$A$2:$A$601,$A13,'Theo dõi'!$D$2:$D$601,"Perplexity")-COUNTIFS('Theo dõi'!$A$2:$A$601,$A13,'Theo dõi'!$D$2:$D$601,"Perplexity",'Theo dõi'!$B$2:$B$601,"Q18")-COUNTIFS('Theo dõi'!$A$2:$A$601,$A13,'Theo dõi'!$D$2:$D$601,"Perplexity",'Theo dõi'!$B$2:$B$601,"Q19")-COUNTIFS('Theo dõi'!$A$2:$A$601,$A13,'Theo dõi'!$D$2:$D$601,"Perplexity",'Theo dõi'!$B$2:$B$601,"Q20"))=0,"",(COUNTIFS('Theo dõi'!$A$2:$A$601,$A13,'Theo dõi'!$D$2:$D$601,"Perplexity",'Theo dõi'!$F$2:$F$601,"Có")-COUNTIFS('Theo dõi'!$A$2:$A$601,$A13,'Theo dõi'!$D$2:$D$601,"Perplexity",'Theo dõi'!$F$2:$F$601,"Có",'Theo dõi'!$B$2:$B$601,"Q18")-COUNTIFS('Theo dõi'!$A$2:$A$601,$A13,'Theo dõi'!$D$2:$D$601,"Perplexity",'Theo dõi'!$F$2:$F$601,"Có",'Theo dõi'!$B$2:$B$601,"Q19")-COUNTIFS('Theo dõi'!$A$2:$A$601,$A13,'Theo dõi'!$D$2:$D$601,"Perplexity",'Theo dõi'!$F$2:$F$601,"Có",'Theo dõi'!$B$2:$B$601,"Q20"))/(COUNTIFS('Theo dõi'!$A$2:$A$601,$A13,'Theo dõi'!$D$2:$D$601,"Perplexity")-COUNTIFS('Theo dõi'!$A$2:$A$601,$A13,'Theo dõi'!$D$2:$D$601,"Perplexity",'Theo dõi'!$B$2:$B$601,"Q18")-COUNTIFS('Theo dõi'!$A$2:$A$601,$A13,'Theo dõi'!$D$2:$D$601,"Perplexity",'Theo dõi'!$B$2:$B$601,"Q19")-COUNTIFS('Theo dõi'!$A$2:$A$601,$A13,'Theo dõi'!$D$2:$D$601,"Perplexity",'Theo dõi'!$B$2:$B$601,"Q20")))</f>
        <v/>
      </c>
      <c r="E13" s="16" t="str">
        <f aca="false">IF((COUNTIFS('Theo dõi'!$A$2:$A$601,$A13,'Theo dõi'!$D$2:$D$601,"Gemini")-COUNTIFS('Theo dõi'!$A$2:$A$601,$A13,'Theo dõi'!$D$2:$D$601,"Gemini",'Theo dõi'!$B$2:$B$601,"Q18")-COUNTIFS('Theo dõi'!$A$2:$A$601,$A13,'Theo dõi'!$D$2:$D$601,"Gemini",'Theo dõi'!$B$2:$B$601,"Q19")-COUNTIFS('Theo dõi'!$A$2:$A$601,$A13,'Theo dõi'!$D$2:$D$601,"Gemini",'Theo dõi'!$B$2:$B$601,"Q20"))=0,"",(COUNTIFS('Theo dõi'!$A$2:$A$601,$A13,'Theo dõi'!$D$2:$D$601,"Gemini",'Theo dõi'!$F$2:$F$601,"Có")-COUNTIFS('Theo dõi'!$A$2:$A$601,$A13,'Theo dõi'!$D$2:$D$601,"Gemini",'Theo dõi'!$F$2:$F$601,"Có",'Theo dõi'!$B$2:$B$601,"Q18")-COUNTIFS('Theo dõi'!$A$2:$A$601,$A13,'Theo dõi'!$D$2:$D$601,"Gemini",'Theo dõi'!$F$2:$F$601,"Có",'Theo dõi'!$B$2:$B$601,"Q19")-COUNTIFS('Theo dõi'!$A$2:$A$601,$A13,'Theo dõi'!$D$2:$D$601,"Gemini",'Theo dõi'!$F$2:$F$601,"Có",'Theo dõi'!$B$2:$B$601,"Q20"))/(COUNTIFS('Theo dõi'!$A$2:$A$601,$A13,'Theo dõi'!$D$2:$D$601,"Gemini")-COUNTIFS('Theo dõi'!$A$2:$A$601,$A13,'Theo dõi'!$D$2:$D$601,"Gemini",'Theo dõi'!$B$2:$B$601,"Q18")-COUNTIFS('Theo dõi'!$A$2:$A$601,$A13,'Theo dõi'!$D$2:$D$601,"Gemini",'Theo dõi'!$B$2:$B$601,"Q19")-COUNTIFS('Theo dõi'!$A$2:$A$601,$A13,'Theo dõi'!$D$2:$D$601,"Gemini",'Theo dõi'!$B$2:$B$601,"Q20")))</f>
        <v/>
      </c>
      <c r="F13" s="16" t="str">
        <f aca="false">IF((COUNTIFS('Theo dõi'!$A$2:$A$601,$A13,'Theo dõi'!$D$2:$D$601,"Google AI Overview")-COUNTIFS('Theo dõi'!$A$2:$A$601,$A13,'Theo dõi'!$D$2:$D$601,"Google AI Overview",'Theo dõi'!$B$2:$B$601,"Q18")-COUNTIFS('Theo dõi'!$A$2:$A$601,$A13,'Theo dõi'!$D$2:$D$601,"Google AI Overview",'Theo dõi'!$B$2:$B$601,"Q19")-COUNTIFS('Theo dõi'!$A$2:$A$601,$A13,'Theo dõi'!$D$2:$D$601,"Google AI Overview",'Theo dõi'!$B$2:$B$601,"Q20"))=0,"",(COUNTIFS('Theo dõi'!$A$2:$A$601,$A13,'Theo dõi'!$D$2:$D$601,"Google AI Overview",'Theo dõi'!$F$2:$F$601,"Có")-COUNTIFS('Theo dõi'!$A$2:$A$601,$A13,'Theo dõi'!$D$2:$D$601,"Google AI Overview",'Theo dõi'!$F$2:$F$601,"Có",'Theo dõi'!$B$2:$B$601,"Q18")-COUNTIFS('Theo dõi'!$A$2:$A$601,$A13,'Theo dõi'!$D$2:$D$601,"Google AI Overview",'Theo dõi'!$F$2:$F$601,"Có",'Theo dõi'!$B$2:$B$601,"Q19")-COUNTIFS('Theo dõi'!$A$2:$A$601,$A13,'Theo dõi'!$D$2:$D$601,"Google AI Overview",'Theo dõi'!$F$2:$F$601,"Có",'Theo dõi'!$B$2:$B$601,"Q20"))/(COUNTIFS('Theo dõi'!$A$2:$A$601,$A13,'Theo dõi'!$D$2:$D$601,"Google AI Overview")-COUNTIFS('Theo dõi'!$A$2:$A$601,$A13,'Theo dõi'!$D$2:$D$601,"Google AI Overview",'Theo dõi'!$B$2:$B$601,"Q18")-COUNTIFS('Theo dõi'!$A$2:$A$601,$A13,'Theo dõi'!$D$2:$D$601,"Google AI Overview",'Theo dõi'!$B$2:$B$601,"Q19")-COUNTIFS('Theo dõi'!$A$2:$A$601,$A13,'Theo dõi'!$D$2:$D$601,"Google AI Overview",'Theo dõi'!$B$2:$B$601,"Q20")))</f>
        <v/>
      </c>
      <c r="G13" s="16" t="str">
        <f aca="false">IF((COUNTIFS('Theo dõi'!$A$2:$A$601,$A13,'Theo dõi'!$D$2:$D$601,"Copilot")-COUNTIFS('Theo dõi'!$A$2:$A$601,$A13,'Theo dõi'!$D$2:$D$601,"Copilot",'Theo dõi'!$B$2:$B$601,"Q18")-COUNTIFS('Theo dõi'!$A$2:$A$601,$A13,'Theo dõi'!$D$2:$D$601,"Copilot",'Theo dõi'!$B$2:$B$601,"Q19")-COUNTIFS('Theo dõi'!$A$2:$A$601,$A13,'Theo dõi'!$D$2:$D$601,"Copilot",'Theo dõi'!$B$2:$B$601,"Q20"))=0,"",(COUNTIFS('Theo dõi'!$A$2:$A$601,$A13,'Theo dõi'!$D$2:$D$601,"Copilot",'Theo dõi'!$F$2:$F$601,"Có")-COUNTIFS('Theo dõi'!$A$2:$A$601,$A13,'Theo dõi'!$D$2:$D$601,"Copilot",'Theo dõi'!$F$2:$F$601,"Có",'Theo dõi'!$B$2:$B$601,"Q18")-COUNTIFS('Theo dõi'!$A$2:$A$601,$A13,'Theo dõi'!$D$2:$D$601,"Copilot",'Theo dõi'!$F$2:$F$601,"Có",'Theo dõi'!$B$2:$B$601,"Q19")-COUNTIFS('Theo dõi'!$A$2:$A$601,$A13,'Theo dõi'!$D$2:$D$601,"Copilot",'Theo dõi'!$F$2:$F$601,"Có",'Theo dõi'!$B$2:$B$601,"Q20"))/(COUNTIFS('Theo dõi'!$A$2:$A$601,$A13,'Theo dõi'!$D$2:$D$601,"Copilot")-COUNTIFS('Theo dõi'!$A$2:$A$601,$A13,'Theo dõi'!$D$2:$D$601,"Copilot",'Theo dõi'!$B$2:$B$601,"Q18")-COUNTIFS('Theo dõi'!$A$2:$A$601,$A13,'Theo dõi'!$D$2:$D$601,"Copilot",'Theo dõi'!$B$2:$B$601,"Q19")-COUNTIFS('Theo dõi'!$A$2:$A$601,$A13,'Theo dõi'!$D$2:$D$601,"Copilot",'Theo dõi'!$B$2:$B$601,"Q20")))</f>
        <v/>
      </c>
      <c r="H13" s="17" t="str">
        <f aca="false">IF((COUNTIFS('Theo dõi'!$A$2:$A$601,$A13,'Theo dõi'!$D$2:$D$601,"&lt;&gt;")-COUNTIFS('Theo dõi'!$A$2:$A$601,$A13,'Theo dõi'!$D$2:$D$601,"&lt;&gt;",'Theo dõi'!$B$2:$B$601,"Q18")-COUNTIFS('Theo dõi'!$A$2:$A$601,$A13,'Theo dõi'!$D$2:$D$601,"&lt;&gt;",'Theo dõi'!$B$2:$B$601,"Q19")-COUNTIFS('Theo dõi'!$A$2:$A$601,$A13,'Theo dõi'!$D$2:$D$601,"&lt;&gt;",'Theo dõi'!$B$2:$B$601,"Q20"))=0,"",(COUNTIFS('Theo dõi'!$A$2:$A$601,$A13,'Theo dõi'!$D$2:$D$601,"&lt;&gt;",'Theo dõi'!$F$2:$F$601,"Có")-COUNTIFS('Theo dõi'!$A$2:$A$601,$A13,'Theo dõi'!$D$2:$D$601,"&lt;&gt;",'Theo dõi'!$F$2:$F$601,"Có",'Theo dõi'!$B$2:$B$601,"Q18")-COUNTIFS('Theo dõi'!$A$2:$A$601,$A13,'Theo dõi'!$D$2:$D$601,"&lt;&gt;",'Theo dõi'!$F$2:$F$601,"Có",'Theo dõi'!$B$2:$B$601,"Q19")-COUNTIFS('Theo dõi'!$A$2:$A$601,$A13,'Theo dõi'!$D$2:$D$601,"&lt;&gt;",'Theo dõi'!$F$2:$F$601,"Có",'Theo dõi'!$B$2:$B$601,"Q20"))/(COUNTIFS('Theo dõi'!$A$2:$A$601,$A13,'Theo dõi'!$D$2:$D$601,"&lt;&gt;")-COUNTIFS('Theo dõi'!$A$2:$A$601,$A13,'Theo dõi'!$D$2:$D$601,"&lt;&gt;",'Theo dõi'!$B$2:$B$601,"Q18")-COUNTIFS('Theo dõi'!$A$2:$A$601,$A13,'Theo dõi'!$D$2:$D$601,"&lt;&gt;",'Theo dõi'!$B$2:$B$601,"Q19")-COUNTIFS('Theo dõi'!$A$2:$A$601,$A13,'Theo dõi'!$D$2:$D$601,"&lt;&gt;",'Theo dõi'!$B$2:$B$601,"Q20")))</f>
        <v/>
      </c>
    </row>
    <row r="14" customFormat="false" ht="15" hidden="false" customHeight="false" outlineLevel="0" collapsed="false">
      <c r="A14" s="14" t="s">
        <v>135</v>
      </c>
      <c r="B14" s="15" t="n">
        <f aca="false">COUNTIFS('Theo dõi'!$A$2:$A$601,$A14,'Theo dõi'!$D$2:$D$601,"&lt;&gt;")-COUNTIFS('Theo dõi'!$A$2:$A$601,$A14,'Theo dõi'!$D$2:$D$601,"&lt;&gt;",'Theo dõi'!$B$2:$B$601,"Q18")-COUNTIFS('Theo dõi'!$A$2:$A$601,$A14,'Theo dõi'!$D$2:$D$601,"&lt;&gt;",'Theo dõi'!$B$2:$B$601,"Q19")-COUNTIFS('Theo dõi'!$A$2:$A$601,$A14,'Theo dõi'!$D$2:$D$601,"&lt;&gt;",'Theo dõi'!$B$2:$B$601,"Q20")</f>
        <v>0</v>
      </c>
      <c r="C14" s="16" t="str">
        <f aca="false">IF((COUNTIFS('Theo dõi'!$A$2:$A$601,$A14,'Theo dõi'!$D$2:$D$601,"ChatGPT")-COUNTIFS('Theo dõi'!$A$2:$A$601,$A14,'Theo dõi'!$D$2:$D$601,"ChatGPT",'Theo dõi'!$B$2:$B$601,"Q18")-COUNTIFS('Theo dõi'!$A$2:$A$601,$A14,'Theo dõi'!$D$2:$D$601,"ChatGPT",'Theo dõi'!$B$2:$B$601,"Q19")-COUNTIFS('Theo dõi'!$A$2:$A$601,$A14,'Theo dõi'!$D$2:$D$601,"ChatGPT",'Theo dõi'!$B$2:$B$601,"Q20"))=0,"",(COUNTIFS('Theo dõi'!$A$2:$A$601,$A14,'Theo dõi'!$D$2:$D$601,"ChatGPT",'Theo dõi'!$F$2:$F$601,"Có")-COUNTIFS('Theo dõi'!$A$2:$A$601,$A14,'Theo dõi'!$D$2:$D$601,"ChatGPT",'Theo dõi'!$F$2:$F$601,"Có",'Theo dõi'!$B$2:$B$601,"Q18")-COUNTIFS('Theo dõi'!$A$2:$A$601,$A14,'Theo dõi'!$D$2:$D$601,"ChatGPT",'Theo dõi'!$F$2:$F$601,"Có",'Theo dõi'!$B$2:$B$601,"Q19")-COUNTIFS('Theo dõi'!$A$2:$A$601,$A14,'Theo dõi'!$D$2:$D$601,"ChatGPT",'Theo dõi'!$F$2:$F$601,"Có",'Theo dõi'!$B$2:$B$601,"Q20"))/(COUNTIFS('Theo dõi'!$A$2:$A$601,$A14,'Theo dõi'!$D$2:$D$601,"ChatGPT")-COUNTIFS('Theo dõi'!$A$2:$A$601,$A14,'Theo dõi'!$D$2:$D$601,"ChatGPT",'Theo dõi'!$B$2:$B$601,"Q18")-COUNTIFS('Theo dõi'!$A$2:$A$601,$A14,'Theo dõi'!$D$2:$D$601,"ChatGPT",'Theo dõi'!$B$2:$B$601,"Q19")-COUNTIFS('Theo dõi'!$A$2:$A$601,$A14,'Theo dõi'!$D$2:$D$601,"ChatGPT",'Theo dõi'!$B$2:$B$601,"Q20")))</f>
        <v/>
      </c>
      <c r="D14" s="16" t="str">
        <f aca="false">IF((COUNTIFS('Theo dõi'!$A$2:$A$601,$A14,'Theo dõi'!$D$2:$D$601,"Perplexity")-COUNTIFS('Theo dõi'!$A$2:$A$601,$A14,'Theo dõi'!$D$2:$D$601,"Perplexity",'Theo dõi'!$B$2:$B$601,"Q18")-COUNTIFS('Theo dõi'!$A$2:$A$601,$A14,'Theo dõi'!$D$2:$D$601,"Perplexity",'Theo dõi'!$B$2:$B$601,"Q19")-COUNTIFS('Theo dõi'!$A$2:$A$601,$A14,'Theo dõi'!$D$2:$D$601,"Perplexity",'Theo dõi'!$B$2:$B$601,"Q20"))=0,"",(COUNTIFS('Theo dõi'!$A$2:$A$601,$A14,'Theo dõi'!$D$2:$D$601,"Perplexity",'Theo dõi'!$F$2:$F$601,"Có")-COUNTIFS('Theo dõi'!$A$2:$A$601,$A14,'Theo dõi'!$D$2:$D$601,"Perplexity",'Theo dõi'!$F$2:$F$601,"Có",'Theo dõi'!$B$2:$B$601,"Q18")-COUNTIFS('Theo dõi'!$A$2:$A$601,$A14,'Theo dõi'!$D$2:$D$601,"Perplexity",'Theo dõi'!$F$2:$F$601,"Có",'Theo dõi'!$B$2:$B$601,"Q19")-COUNTIFS('Theo dõi'!$A$2:$A$601,$A14,'Theo dõi'!$D$2:$D$601,"Perplexity",'Theo dõi'!$F$2:$F$601,"Có",'Theo dõi'!$B$2:$B$601,"Q20"))/(COUNTIFS('Theo dõi'!$A$2:$A$601,$A14,'Theo dõi'!$D$2:$D$601,"Perplexity")-COUNTIFS('Theo dõi'!$A$2:$A$601,$A14,'Theo dõi'!$D$2:$D$601,"Perplexity",'Theo dõi'!$B$2:$B$601,"Q18")-COUNTIFS('Theo dõi'!$A$2:$A$601,$A14,'Theo dõi'!$D$2:$D$601,"Perplexity",'Theo dõi'!$B$2:$B$601,"Q19")-COUNTIFS('Theo dõi'!$A$2:$A$601,$A14,'Theo dõi'!$D$2:$D$601,"Perplexity",'Theo dõi'!$B$2:$B$601,"Q20")))</f>
        <v/>
      </c>
      <c r="E14" s="16" t="str">
        <f aca="false">IF((COUNTIFS('Theo dõi'!$A$2:$A$601,$A14,'Theo dõi'!$D$2:$D$601,"Gemini")-COUNTIFS('Theo dõi'!$A$2:$A$601,$A14,'Theo dõi'!$D$2:$D$601,"Gemini",'Theo dõi'!$B$2:$B$601,"Q18")-COUNTIFS('Theo dõi'!$A$2:$A$601,$A14,'Theo dõi'!$D$2:$D$601,"Gemini",'Theo dõi'!$B$2:$B$601,"Q19")-COUNTIFS('Theo dõi'!$A$2:$A$601,$A14,'Theo dõi'!$D$2:$D$601,"Gemini",'Theo dõi'!$B$2:$B$601,"Q20"))=0,"",(COUNTIFS('Theo dõi'!$A$2:$A$601,$A14,'Theo dõi'!$D$2:$D$601,"Gemini",'Theo dõi'!$F$2:$F$601,"Có")-COUNTIFS('Theo dõi'!$A$2:$A$601,$A14,'Theo dõi'!$D$2:$D$601,"Gemini",'Theo dõi'!$F$2:$F$601,"Có",'Theo dõi'!$B$2:$B$601,"Q18")-COUNTIFS('Theo dõi'!$A$2:$A$601,$A14,'Theo dõi'!$D$2:$D$601,"Gemini",'Theo dõi'!$F$2:$F$601,"Có",'Theo dõi'!$B$2:$B$601,"Q19")-COUNTIFS('Theo dõi'!$A$2:$A$601,$A14,'Theo dõi'!$D$2:$D$601,"Gemini",'Theo dõi'!$F$2:$F$601,"Có",'Theo dõi'!$B$2:$B$601,"Q20"))/(COUNTIFS('Theo dõi'!$A$2:$A$601,$A14,'Theo dõi'!$D$2:$D$601,"Gemini")-COUNTIFS('Theo dõi'!$A$2:$A$601,$A14,'Theo dõi'!$D$2:$D$601,"Gemini",'Theo dõi'!$B$2:$B$601,"Q18")-COUNTIFS('Theo dõi'!$A$2:$A$601,$A14,'Theo dõi'!$D$2:$D$601,"Gemini",'Theo dõi'!$B$2:$B$601,"Q19")-COUNTIFS('Theo dõi'!$A$2:$A$601,$A14,'Theo dõi'!$D$2:$D$601,"Gemini",'Theo dõi'!$B$2:$B$601,"Q20")))</f>
        <v/>
      </c>
      <c r="F14" s="16" t="str">
        <f aca="false">IF((COUNTIFS('Theo dõi'!$A$2:$A$601,$A14,'Theo dõi'!$D$2:$D$601,"Google AI Overview")-COUNTIFS('Theo dõi'!$A$2:$A$601,$A14,'Theo dõi'!$D$2:$D$601,"Google AI Overview",'Theo dõi'!$B$2:$B$601,"Q18")-COUNTIFS('Theo dõi'!$A$2:$A$601,$A14,'Theo dõi'!$D$2:$D$601,"Google AI Overview",'Theo dõi'!$B$2:$B$601,"Q19")-COUNTIFS('Theo dõi'!$A$2:$A$601,$A14,'Theo dõi'!$D$2:$D$601,"Google AI Overview",'Theo dõi'!$B$2:$B$601,"Q20"))=0,"",(COUNTIFS('Theo dõi'!$A$2:$A$601,$A14,'Theo dõi'!$D$2:$D$601,"Google AI Overview",'Theo dõi'!$F$2:$F$601,"Có")-COUNTIFS('Theo dõi'!$A$2:$A$601,$A14,'Theo dõi'!$D$2:$D$601,"Google AI Overview",'Theo dõi'!$F$2:$F$601,"Có",'Theo dõi'!$B$2:$B$601,"Q18")-COUNTIFS('Theo dõi'!$A$2:$A$601,$A14,'Theo dõi'!$D$2:$D$601,"Google AI Overview",'Theo dõi'!$F$2:$F$601,"Có",'Theo dõi'!$B$2:$B$601,"Q19")-COUNTIFS('Theo dõi'!$A$2:$A$601,$A14,'Theo dõi'!$D$2:$D$601,"Google AI Overview",'Theo dõi'!$F$2:$F$601,"Có",'Theo dõi'!$B$2:$B$601,"Q20"))/(COUNTIFS('Theo dõi'!$A$2:$A$601,$A14,'Theo dõi'!$D$2:$D$601,"Google AI Overview")-COUNTIFS('Theo dõi'!$A$2:$A$601,$A14,'Theo dõi'!$D$2:$D$601,"Google AI Overview",'Theo dõi'!$B$2:$B$601,"Q18")-COUNTIFS('Theo dõi'!$A$2:$A$601,$A14,'Theo dõi'!$D$2:$D$601,"Google AI Overview",'Theo dõi'!$B$2:$B$601,"Q19")-COUNTIFS('Theo dõi'!$A$2:$A$601,$A14,'Theo dõi'!$D$2:$D$601,"Google AI Overview",'Theo dõi'!$B$2:$B$601,"Q20")))</f>
        <v/>
      </c>
      <c r="G14" s="16" t="str">
        <f aca="false">IF((COUNTIFS('Theo dõi'!$A$2:$A$601,$A14,'Theo dõi'!$D$2:$D$601,"Copilot")-COUNTIFS('Theo dõi'!$A$2:$A$601,$A14,'Theo dõi'!$D$2:$D$601,"Copilot",'Theo dõi'!$B$2:$B$601,"Q18")-COUNTIFS('Theo dõi'!$A$2:$A$601,$A14,'Theo dõi'!$D$2:$D$601,"Copilot",'Theo dõi'!$B$2:$B$601,"Q19")-COUNTIFS('Theo dõi'!$A$2:$A$601,$A14,'Theo dõi'!$D$2:$D$601,"Copilot",'Theo dõi'!$B$2:$B$601,"Q20"))=0,"",(COUNTIFS('Theo dõi'!$A$2:$A$601,$A14,'Theo dõi'!$D$2:$D$601,"Copilot",'Theo dõi'!$F$2:$F$601,"Có")-COUNTIFS('Theo dõi'!$A$2:$A$601,$A14,'Theo dõi'!$D$2:$D$601,"Copilot",'Theo dõi'!$F$2:$F$601,"Có",'Theo dõi'!$B$2:$B$601,"Q18")-COUNTIFS('Theo dõi'!$A$2:$A$601,$A14,'Theo dõi'!$D$2:$D$601,"Copilot",'Theo dõi'!$F$2:$F$601,"Có",'Theo dõi'!$B$2:$B$601,"Q19")-COUNTIFS('Theo dõi'!$A$2:$A$601,$A14,'Theo dõi'!$D$2:$D$601,"Copilot",'Theo dõi'!$F$2:$F$601,"Có",'Theo dõi'!$B$2:$B$601,"Q20"))/(COUNTIFS('Theo dõi'!$A$2:$A$601,$A14,'Theo dõi'!$D$2:$D$601,"Copilot")-COUNTIFS('Theo dõi'!$A$2:$A$601,$A14,'Theo dõi'!$D$2:$D$601,"Copilot",'Theo dõi'!$B$2:$B$601,"Q18")-COUNTIFS('Theo dõi'!$A$2:$A$601,$A14,'Theo dõi'!$D$2:$D$601,"Copilot",'Theo dõi'!$B$2:$B$601,"Q19")-COUNTIFS('Theo dõi'!$A$2:$A$601,$A14,'Theo dõi'!$D$2:$D$601,"Copilot",'Theo dõi'!$B$2:$B$601,"Q20")))</f>
        <v/>
      </c>
      <c r="H14" s="17" t="str">
        <f aca="false">IF((COUNTIFS('Theo dõi'!$A$2:$A$601,$A14,'Theo dõi'!$D$2:$D$601,"&lt;&gt;")-COUNTIFS('Theo dõi'!$A$2:$A$601,$A14,'Theo dõi'!$D$2:$D$601,"&lt;&gt;",'Theo dõi'!$B$2:$B$601,"Q18")-COUNTIFS('Theo dõi'!$A$2:$A$601,$A14,'Theo dõi'!$D$2:$D$601,"&lt;&gt;",'Theo dõi'!$B$2:$B$601,"Q19")-COUNTIFS('Theo dõi'!$A$2:$A$601,$A14,'Theo dõi'!$D$2:$D$601,"&lt;&gt;",'Theo dõi'!$B$2:$B$601,"Q20"))=0,"",(COUNTIFS('Theo dõi'!$A$2:$A$601,$A14,'Theo dõi'!$D$2:$D$601,"&lt;&gt;",'Theo dõi'!$F$2:$F$601,"Có")-COUNTIFS('Theo dõi'!$A$2:$A$601,$A14,'Theo dõi'!$D$2:$D$601,"&lt;&gt;",'Theo dõi'!$F$2:$F$601,"Có",'Theo dõi'!$B$2:$B$601,"Q18")-COUNTIFS('Theo dõi'!$A$2:$A$601,$A14,'Theo dõi'!$D$2:$D$601,"&lt;&gt;",'Theo dõi'!$F$2:$F$601,"Có",'Theo dõi'!$B$2:$B$601,"Q19")-COUNTIFS('Theo dõi'!$A$2:$A$601,$A14,'Theo dõi'!$D$2:$D$601,"&lt;&gt;",'Theo dõi'!$F$2:$F$601,"Có",'Theo dõi'!$B$2:$B$601,"Q20"))/(COUNTIFS('Theo dõi'!$A$2:$A$601,$A14,'Theo dõi'!$D$2:$D$601,"&lt;&gt;")-COUNTIFS('Theo dõi'!$A$2:$A$601,$A14,'Theo dõi'!$D$2:$D$601,"&lt;&gt;",'Theo dõi'!$B$2:$B$601,"Q18")-COUNTIFS('Theo dõi'!$A$2:$A$601,$A14,'Theo dõi'!$D$2:$D$601,"&lt;&gt;",'Theo dõi'!$B$2:$B$601,"Q19")-COUNTIFS('Theo dõi'!$A$2:$A$601,$A14,'Theo dõi'!$D$2:$D$601,"&lt;&gt;",'Theo dõi'!$B$2:$B$601,"Q20")))</f>
        <v/>
      </c>
    </row>
    <row r="15" customFormat="false" ht="15" hidden="false" customHeight="false" outlineLevel="0" collapsed="false">
      <c r="A15" s="14" t="s">
        <v>136</v>
      </c>
      <c r="B15" s="15" t="n">
        <f aca="false">COUNTIFS('Theo dõi'!$A$2:$A$601,$A15,'Theo dõi'!$D$2:$D$601,"&lt;&gt;")-COUNTIFS('Theo dõi'!$A$2:$A$601,$A15,'Theo dõi'!$D$2:$D$601,"&lt;&gt;",'Theo dõi'!$B$2:$B$601,"Q18")-COUNTIFS('Theo dõi'!$A$2:$A$601,$A15,'Theo dõi'!$D$2:$D$601,"&lt;&gt;",'Theo dõi'!$B$2:$B$601,"Q19")-COUNTIFS('Theo dõi'!$A$2:$A$601,$A15,'Theo dõi'!$D$2:$D$601,"&lt;&gt;",'Theo dõi'!$B$2:$B$601,"Q20")</f>
        <v>0</v>
      </c>
      <c r="C15" s="16" t="str">
        <f aca="false">IF((COUNTIFS('Theo dõi'!$A$2:$A$601,$A15,'Theo dõi'!$D$2:$D$601,"ChatGPT")-COUNTIFS('Theo dõi'!$A$2:$A$601,$A15,'Theo dõi'!$D$2:$D$601,"ChatGPT",'Theo dõi'!$B$2:$B$601,"Q18")-COUNTIFS('Theo dõi'!$A$2:$A$601,$A15,'Theo dõi'!$D$2:$D$601,"ChatGPT",'Theo dõi'!$B$2:$B$601,"Q19")-COUNTIFS('Theo dõi'!$A$2:$A$601,$A15,'Theo dõi'!$D$2:$D$601,"ChatGPT",'Theo dõi'!$B$2:$B$601,"Q20"))=0,"",(COUNTIFS('Theo dõi'!$A$2:$A$601,$A15,'Theo dõi'!$D$2:$D$601,"ChatGPT",'Theo dõi'!$F$2:$F$601,"Có")-COUNTIFS('Theo dõi'!$A$2:$A$601,$A15,'Theo dõi'!$D$2:$D$601,"ChatGPT",'Theo dõi'!$F$2:$F$601,"Có",'Theo dõi'!$B$2:$B$601,"Q18")-COUNTIFS('Theo dõi'!$A$2:$A$601,$A15,'Theo dõi'!$D$2:$D$601,"ChatGPT",'Theo dõi'!$F$2:$F$601,"Có",'Theo dõi'!$B$2:$B$601,"Q19")-COUNTIFS('Theo dõi'!$A$2:$A$601,$A15,'Theo dõi'!$D$2:$D$601,"ChatGPT",'Theo dõi'!$F$2:$F$601,"Có",'Theo dõi'!$B$2:$B$601,"Q20"))/(COUNTIFS('Theo dõi'!$A$2:$A$601,$A15,'Theo dõi'!$D$2:$D$601,"ChatGPT")-COUNTIFS('Theo dõi'!$A$2:$A$601,$A15,'Theo dõi'!$D$2:$D$601,"ChatGPT",'Theo dõi'!$B$2:$B$601,"Q18")-COUNTIFS('Theo dõi'!$A$2:$A$601,$A15,'Theo dõi'!$D$2:$D$601,"ChatGPT",'Theo dõi'!$B$2:$B$601,"Q19")-COUNTIFS('Theo dõi'!$A$2:$A$601,$A15,'Theo dõi'!$D$2:$D$601,"ChatGPT",'Theo dõi'!$B$2:$B$601,"Q20")))</f>
        <v/>
      </c>
      <c r="D15" s="16" t="str">
        <f aca="false">IF((COUNTIFS('Theo dõi'!$A$2:$A$601,$A15,'Theo dõi'!$D$2:$D$601,"Perplexity")-COUNTIFS('Theo dõi'!$A$2:$A$601,$A15,'Theo dõi'!$D$2:$D$601,"Perplexity",'Theo dõi'!$B$2:$B$601,"Q18")-COUNTIFS('Theo dõi'!$A$2:$A$601,$A15,'Theo dõi'!$D$2:$D$601,"Perplexity",'Theo dõi'!$B$2:$B$601,"Q19")-COUNTIFS('Theo dõi'!$A$2:$A$601,$A15,'Theo dõi'!$D$2:$D$601,"Perplexity",'Theo dõi'!$B$2:$B$601,"Q20"))=0,"",(COUNTIFS('Theo dõi'!$A$2:$A$601,$A15,'Theo dõi'!$D$2:$D$601,"Perplexity",'Theo dõi'!$F$2:$F$601,"Có")-COUNTIFS('Theo dõi'!$A$2:$A$601,$A15,'Theo dõi'!$D$2:$D$601,"Perplexity",'Theo dõi'!$F$2:$F$601,"Có",'Theo dõi'!$B$2:$B$601,"Q18")-COUNTIFS('Theo dõi'!$A$2:$A$601,$A15,'Theo dõi'!$D$2:$D$601,"Perplexity",'Theo dõi'!$F$2:$F$601,"Có",'Theo dõi'!$B$2:$B$601,"Q19")-COUNTIFS('Theo dõi'!$A$2:$A$601,$A15,'Theo dõi'!$D$2:$D$601,"Perplexity",'Theo dõi'!$F$2:$F$601,"Có",'Theo dõi'!$B$2:$B$601,"Q20"))/(COUNTIFS('Theo dõi'!$A$2:$A$601,$A15,'Theo dõi'!$D$2:$D$601,"Perplexity")-COUNTIFS('Theo dõi'!$A$2:$A$601,$A15,'Theo dõi'!$D$2:$D$601,"Perplexity",'Theo dõi'!$B$2:$B$601,"Q18")-COUNTIFS('Theo dõi'!$A$2:$A$601,$A15,'Theo dõi'!$D$2:$D$601,"Perplexity",'Theo dõi'!$B$2:$B$601,"Q19")-COUNTIFS('Theo dõi'!$A$2:$A$601,$A15,'Theo dõi'!$D$2:$D$601,"Perplexity",'Theo dõi'!$B$2:$B$601,"Q20")))</f>
        <v/>
      </c>
      <c r="E15" s="16" t="str">
        <f aca="false">IF((COUNTIFS('Theo dõi'!$A$2:$A$601,$A15,'Theo dõi'!$D$2:$D$601,"Gemini")-COUNTIFS('Theo dõi'!$A$2:$A$601,$A15,'Theo dõi'!$D$2:$D$601,"Gemini",'Theo dõi'!$B$2:$B$601,"Q18")-COUNTIFS('Theo dõi'!$A$2:$A$601,$A15,'Theo dõi'!$D$2:$D$601,"Gemini",'Theo dõi'!$B$2:$B$601,"Q19")-COUNTIFS('Theo dõi'!$A$2:$A$601,$A15,'Theo dõi'!$D$2:$D$601,"Gemini",'Theo dõi'!$B$2:$B$601,"Q20"))=0,"",(COUNTIFS('Theo dõi'!$A$2:$A$601,$A15,'Theo dõi'!$D$2:$D$601,"Gemini",'Theo dõi'!$F$2:$F$601,"Có")-COUNTIFS('Theo dõi'!$A$2:$A$601,$A15,'Theo dõi'!$D$2:$D$601,"Gemini",'Theo dõi'!$F$2:$F$601,"Có",'Theo dõi'!$B$2:$B$601,"Q18")-COUNTIFS('Theo dõi'!$A$2:$A$601,$A15,'Theo dõi'!$D$2:$D$601,"Gemini",'Theo dõi'!$F$2:$F$601,"Có",'Theo dõi'!$B$2:$B$601,"Q19")-COUNTIFS('Theo dõi'!$A$2:$A$601,$A15,'Theo dõi'!$D$2:$D$601,"Gemini",'Theo dõi'!$F$2:$F$601,"Có",'Theo dõi'!$B$2:$B$601,"Q20"))/(COUNTIFS('Theo dõi'!$A$2:$A$601,$A15,'Theo dõi'!$D$2:$D$601,"Gemini")-COUNTIFS('Theo dõi'!$A$2:$A$601,$A15,'Theo dõi'!$D$2:$D$601,"Gemini",'Theo dõi'!$B$2:$B$601,"Q18")-COUNTIFS('Theo dõi'!$A$2:$A$601,$A15,'Theo dõi'!$D$2:$D$601,"Gemini",'Theo dõi'!$B$2:$B$601,"Q19")-COUNTIFS('Theo dõi'!$A$2:$A$601,$A15,'Theo dõi'!$D$2:$D$601,"Gemini",'Theo dõi'!$B$2:$B$601,"Q20")))</f>
        <v/>
      </c>
      <c r="F15" s="16" t="str">
        <f aca="false">IF((COUNTIFS('Theo dõi'!$A$2:$A$601,$A15,'Theo dõi'!$D$2:$D$601,"Google AI Overview")-COUNTIFS('Theo dõi'!$A$2:$A$601,$A15,'Theo dõi'!$D$2:$D$601,"Google AI Overview",'Theo dõi'!$B$2:$B$601,"Q18")-COUNTIFS('Theo dõi'!$A$2:$A$601,$A15,'Theo dõi'!$D$2:$D$601,"Google AI Overview",'Theo dõi'!$B$2:$B$601,"Q19")-COUNTIFS('Theo dõi'!$A$2:$A$601,$A15,'Theo dõi'!$D$2:$D$601,"Google AI Overview",'Theo dõi'!$B$2:$B$601,"Q20"))=0,"",(COUNTIFS('Theo dõi'!$A$2:$A$601,$A15,'Theo dõi'!$D$2:$D$601,"Google AI Overview",'Theo dõi'!$F$2:$F$601,"Có")-COUNTIFS('Theo dõi'!$A$2:$A$601,$A15,'Theo dõi'!$D$2:$D$601,"Google AI Overview",'Theo dõi'!$F$2:$F$601,"Có",'Theo dõi'!$B$2:$B$601,"Q18")-COUNTIFS('Theo dõi'!$A$2:$A$601,$A15,'Theo dõi'!$D$2:$D$601,"Google AI Overview",'Theo dõi'!$F$2:$F$601,"Có",'Theo dõi'!$B$2:$B$601,"Q19")-COUNTIFS('Theo dõi'!$A$2:$A$601,$A15,'Theo dõi'!$D$2:$D$601,"Google AI Overview",'Theo dõi'!$F$2:$F$601,"Có",'Theo dõi'!$B$2:$B$601,"Q20"))/(COUNTIFS('Theo dõi'!$A$2:$A$601,$A15,'Theo dõi'!$D$2:$D$601,"Google AI Overview")-COUNTIFS('Theo dõi'!$A$2:$A$601,$A15,'Theo dõi'!$D$2:$D$601,"Google AI Overview",'Theo dõi'!$B$2:$B$601,"Q18")-COUNTIFS('Theo dõi'!$A$2:$A$601,$A15,'Theo dõi'!$D$2:$D$601,"Google AI Overview",'Theo dõi'!$B$2:$B$601,"Q19")-COUNTIFS('Theo dõi'!$A$2:$A$601,$A15,'Theo dõi'!$D$2:$D$601,"Google AI Overview",'Theo dõi'!$B$2:$B$601,"Q20")))</f>
        <v/>
      </c>
      <c r="G15" s="16" t="str">
        <f aca="false">IF((COUNTIFS('Theo dõi'!$A$2:$A$601,$A15,'Theo dõi'!$D$2:$D$601,"Copilot")-COUNTIFS('Theo dõi'!$A$2:$A$601,$A15,'Theo dõi'!$D$2:$D$601,"Copilot",'Theo dõi'!$B$2:$B$601,"Q18")-COUNTIFS('Theo dõi'!$A$2:$A$601,$A15,'Theo dõi'!$D$2:$D$601,"Copilot",'Theo dõi'!$B$2:$B$601,"Q19")-COUNTIFS('Theo dõi'!$A$2:$A$601,$A15,'Theo dõi'!$D$2:$D$601,"Copilot",'Theo dõi'!$B$2:$B$601,"Q20"))=0,"",(COUNTIFS('Theo dõi'!$A$2:$A$601,$A15,'Theo dõi'!$D$2:$D$601,"Copilot",'Theo dõi'!$F$2:$F$601,"Có")-COUNTIFS('Theo dõi'!$A$2:$A$601,$A15,'Theo dõi'!$D$2:$D$601,"Copilot",'Theo dõi'!$F$2:$F$601,"Có",'Theo dõi'!$B$2:$B$601,"Q18")-COUNTIFS('Theo dõi'!$A$2:$A$601,$A15,'Theo dõi'!$D$2:$D$601,"Copilot",'Theo dõi'!$F$2:$F$601,"Có",'Theo dõi'!$B$2:$B$601,"Q19")-COUNTIFS('Theo dõi'!$A$2:$A$601,$A15,'Theo dõi'!$D$2:$D$601,"Copilot",'Theo dõi'!$F$2:$F$601,"Có",'Theo dõi'!$B$2:$B$601,"Q20"))/(COUNTIFS('Theo dõi'!$A$2:$A$601,$A15,'Theo dõi'!$D$2:$D$601,"Copilot")-COUNTIFS('Theo dõi'!$A$2:$A$601,$A15,'Theo dõi'!$D$2:$D$601,"Copilot",'Theo dõi'!$B$2:$B$601,"Q18")-COUNTIFS('Theo dõi'!$A$2:$A$601,$A15,'Theo dõi'!$D$2:$D$601,"Copilot",'Theo dõi'!$B$2:$B$601,"Q19")-COUNTIFS('Theo dõi'!$A$2:$A$601,$A15,'Theo dõi'!$D$2:$D$601,"Copilot",'Theo dõi'!$B$2:$B$601,"Q20")))</f>
        <v/>
      </c>
      <c r="H15" s="17" t="str">
        <f aca="false">IF((COUNTIFS('Theo dõi'!$A$2:$A$601,$A15,'Theo dõi'!$D$2:$D$601,"&lt;&gt;")-COUNTIFS('Theo dõi'!$A$2:$A$601,$A15,'Theo dõi'!$D$2:$D$601,"&lt;&gt;",'Theo dõi'!$B$2:$B$601,"Q18")-COUNTIFS('Theo dõi'!$A$2:$A$601,$A15,'Theo dõi'!$D$2:$D$601,"&lt;&gt;",'Theo dõi'!$B$2:$B$601,"Q19")-COUNTIFS('Theo dõi'!$A$2:$A$601,$A15,'Theo dõi'!$D$2:$D$601,"&lt;&gt;",'Theo dõi'!$B$2:$B$601,"Q20"))=0,"",(COUNTIFS('Theo dõi'!$A$2:$A$601,$A15,'Theo dõi'!$D$2:$D$601,"&lt;&gt;",'Theo dõi'!$F$2:$F$601,"Có")-COUNTIFS('Theo dõi'!$A$2:$A$601,$A15,'Theo dõi'!$D$2:$D$601,"&lt;&gt;",'Theo dõi'!$F$2:$F$601,"Có",'Theo dõi'!$B$2:$B$601,"Q18")-COUNTIFS('Theo dõi'!$A$2:$A$601,$A15,'Theo dõi'!$D$2:$D$601,"&lt;&gt;",'Theo dõi'!$F$2:$F$601,"Có",'Theo dõi'!$B$2:$B$601,"Q19")-COUNTIFS('Theo dõi'!$A$2:$A$601,$A15,'Theo dõi'!$D$2:$D$601,"&lt;&gt;",'Theo dõi'!$F$2:$F$601,"Có",'Theo dõi'!$B$2:$B$601,"Q20"))/(COUNTIFS('Theo dõi'!$A$2:$A$601,$A15,'Theo dõi'!$D$2:$D$601,"&lt;&gt;")-COUNTIFS('Theo dõi'!$A$2:$A$601,$A15,'Theo dõi'!$D$2:$D$601,"&lt;&gt;",'Theo dõi'!$B$2:$B$601,"Q18")-COUNTIFS('Theo dõi'!$A$2:$A$601,$A15,'Theo dõi'!$D$2:$D$601,"&lt;&gt;",'Theo dõi'!$B$2:$B$601,"Q19")-COUNTIFS('Theo dõi'!$A$2:$A$601,$A15,'Theo dõi'!$D$2:$D$601,"&lt;&gt;",'Theo dõi'!$B$2:$B$601,"Q20")))</f>
        <v/>
      </c>
    </row>
    <row r="16" customFormat="false" ht="15" hidden="false" customHeight="false" outlineLevel="0" collapsed="false">
      <c r="A16" s="14" t="s">
        <v>137</v>
      </c>
      <c r="B16" s="15" t="n">
        <f aca="false">COUNTIFS('Theo dõi'!$A$2:$A$601,$A16,'Theo dõi'!$D$2:$D$601,"&lt;&gt;")-COUNTIFS('Theo dõi'!$A$2:$A$601,$A16,'Theo dõi'!$D$2:$D$601,"&lt;&gt;",'Theo dõi'!$B$2:$B$601,"Q18")-COUNTIFS('Theo dõi'!$A$2:$A$601,$A16,'Theo dõi'!$D$2:$D$601,"&lt;&gt;",'Theo dõi'!$B$2:$B$601,"Q19")-COUNTIFS('Theo dõi'!$A$2:$A$601,$A16,'Theo dõi'!$D$2:$D$601,"&lt;&gt;",'Theo dõi'!$B$2:$B$601,"Q20")</f>
        <v>0</v>
      </c>
      <c r="C16" s="16" t="str">
        <f aca="false">IF((COUNTIFS('Theo dõi'!$A$2:$A$601,$A16,'Theo dõi'!$D$2:$D$601,"ChatGPT")-COUNTIFS('Theo dõi'!$A$2:$A$601,$A16,'Theo dõi'!$D$2:$D$601,"ChatGPT",'Theo dõi'!$B$2:$B$601,"Q18")-COUNTIFS('Theo dõi'!$A$2:$A$601,$A16,'Theo dõi'!$D$2:$D$601,"ChatGPT",'Theo dõi'!$B$2:$B$601,"Q19")-COUNTIFS('Theo dõi'!$A$2:$A$601,$A16,'Theo dõi'!$D$2:$D$601,"ChatGPT",'Theo dõi'!$B$2:$B$601,"Q20"))=0,"",(COUNTIFS('Theo dõi'!$A$2:$A$601,$A16,'Theo dõi'!$D$2:$D$601,"ChatGPT",'Theo dõi'!$F$2:$F$601,"Có")-COUNTIFS('Theo dõi'!$A$2:$A$601,$A16,'Theo dõi'!$D$2:$D$601,"ChatGPT",'Theo dõi'!$F$2:$F$601,"Có",'Theo dõi'!$B$2:$B$601,"Q18")-COUNTIFS('Theo dõi'!$A$2:$A$601,$A16,'Theo dõi'!$D$2:$D$601,"ChatGPT",'Theo dõi'!$F$2:$F$601,"Có",'Theo dõi'!$B$2:$B$601,"Q19")-COUNTIFS('Theo dõi'!$A$2:$A$601,$A16,'Theo dõi'!$D$2:$D$601,"ChatGPT",'Theo dõi'!$F$2:$F$601,"Có",'Theo dõi'!$B$2:$B$601,"Q20"))/(COUNTIFS('Theo dõi'!$A$2:$A$601,$A16,'Theo dõi'!$D$2:$D$601,"ChatGPT")-COUNTIFS('Theo dõi'!$A$2:$A$601,$A16,'Theo dõi'!$D$2:$D$601,"ChatGPT",'Theo dõi'!$B$2:$B$601,"Q18")-COUNTIFS('Theo dõi'!$A$2:$A$601,$A16,'Theo dõi'!$D$2:$D$601,"ChatGPT",'Theo dõi'!$B$2:$B$601,"Q19")-COUNTIFS('Theo dõi'!$A$2:$A$601,$A16,'Theo dõi'!$D$2:$D$601,"ChatGPT",'Theo dõi'!$B$2:$B$601,"Q20")))</f>
        <v/>
      </c>
      <c r="D16" s="16" t="str">
        <f aca="false">IF((COUNTIFS('Theo dõi'!$A$2:$A$601,$A16,'Theo dõi'!$D$2:$D$601,"Perplexity")-COUNTIFS('Theo dõi'!$A$2:$A$601,$A16,'Theo dõi'!$D$2:$D$601,"Perplexity",'Theo dõi'!$B$2:$B$601,"Q18")-COUNTIFS('Theo dõi'!$A$2:$A$601,$A16,'Theo dõi'!$D$2:$D$601,"Perplexity",'Theo dõi'!$B$2:$B$601,"Q19")-COUNTIFS('Theo dõi'!$A$2:$A$601,$A16,'Theo dõi'!$D$2:$D$601,"Perplexity",'Theo dõi'!$B$2:$B$601,"Q20"))=0,"",(COUNTIFS('Theo dõi'!$A$2:$A$601,$A16,'Theo dõi'!$D$2:$D$601,"Perplexity",'Theo dõi'!$F$2:$F$601,"Có")-COUNTIFS('Theo dõi'!$A$2:$A$601,$A16,'Theo dõi'!$D$2:$D$601,"Perplexity",'Theo dõi'!$F$2:$F$601,"Có",'Theo dõi'!$B$2:$B$601,"Q18")-COUNTIFS('Theo dõi'!$A$2:$A$601,$A16,'Theo dõi'!$D$2:$D$601,"Perplexity",'Theo dõi'!$F$2:$F$601,"Có",'Theo dõi'!$B$2:$B$601,"Q19")-COUNTIFS('Theo dõi'!$A$2:$A$601,$A16,'Theo dõi'!$D$2:$D$601,"Perplexity",'Theo dõi'!$F$2:$F$601,"Có",'Theo dõi'!$B$2:$B$601,"Q20"))/(COUNTIFS('Theo dõi'!$A$2:$A$601,$A16,'Theo dõi'!$D$2:$D$601,"Perplexity")-COUNTIFS('Theo dõi'!$A$2:$A$601,$A16,'Theo dõi'!$D$2:$D$601,"Perplexity",'Theo dõi'!$B$2:$B$601,"Q18")-COUNTIFS('Theo dõi'!$A$2:$A$601,$A16,'Theo dõi'!$D$2:$D$601,"Perplexity",'Theo dõi'!$B$2:$B$601,"Q19")-COUNTIFS('Theo dõi'!$A$2:$A$601,$A16,'Theo dõi'!$D$2:$D$601,"Perplexity",'Theo dõi'!$B$2:$B$601,"Q20")))</f>
        <v/>
      </c>
      <c r="E16" s="16" t="str">
        <f aca="false">IF((COUNTIFS('Theo dõi'!$A$2:$A$601,$A16,'Theo dõi'!$D$2:$D$601,"Gemini")-COUNTIFS('Theo dõi'!$A$2:$A$601,$A16,'Theo dõi'!$D$2:$D$601,"Gemini",'Theo dõi'!$B$2:$B$601,"Q18")-COUNTIFS('Theo dõi'!$A$2:$A$601,$A16,'Theo dõi'!$D$2:$D$601,"Gemini",'Theo dõi'!$B$2:$B$601,"Q19")-COUNTIFS('Theo dõi'!$A$2:$A$601,$A16,'Theo dõi'!$D$2:$D$601,"Gemini",'Theo dõi'!$B$2:$B$601,"Q20"))=0,"",(COUNTIFS('Theo dõi'!$A$2:$A$601,$A16,'Theo dõi'!$D$2:$D$601,"Gemini",'Theo dõi'!$F$2:$F$601,"Có")-COUNTIFS('Theo dõi'!$A$2:$A$601,$A16,'Theo dõi'!$D$2:$D$601,"Gemini",'Theo dõi'!$F$2:$F$601,"Có",'Theo dõi'!$B$2:$B$601,"Q18")-COUNTIFS('Theo dõi'!$A$2:$A$601,$A16,'Theo dõi'!$D$2:$D$601,"Gemini",'Theo dõi'!$F$2:$F$601,"Có",'Theo dõi'!$B$2:$B$601,"Q19")-COUNTIFS('Theo dõi'!$A$2:$A$601,$A16,'Theo dõi'!$D$2:$D$601,"Gemini",'Theo dõi'!$F$2:$F$601,"Có",'Theo dõi'!$B$2:$B$601,"Q20"))/(COUNTIFS('Theo dõi'!$A$2:$A$601,$A16,'Theo dõi'!$D$2:$D$601,"Gemini")-COUNTIFS('Theo dõi'!$A$2:$A$601,$A16,'Theo dõi'!$D$2:$D$601,"Gemini",'Theo dõi'!$B$2:$B$601,"Q18")-COUNTIFS('Theo dõi'!$A$2:$A$601,$A16,'Theo dõi'!$D$2:$D$601,"Gemini",'Theo dõi'!$B$2:$B$601,"Q19")-COUNTIFS('Theo dõi'!$A$2:$A$601,$A16,'Theo dõi'!$D$2:$D$601,"Gemini",'Theo dõi'!$B$2:$B$601,"Q20")))</f>
        <v/>
      </c>
      <c r="F16" s="16" t="str">
        <f aca="false">IF((COUNTIFS('Theo dõi'!$A$2:$A$601,$A16,'Theo dõi'!$D$2:$D$601,"Google AI Overview")-COUNTIFS('Theo dõi'!$A$2:$A$601,$A16,'Theo dõi'!$D$2:$D$601,"Google AI Overview",'Theo dõi'!$B$2:$B$601,"Q18")-COUNTIFS('Theo dõi'!$A$2:$A$601,$A16,'Theo dõi'!$D$2:$D$601,"Google AI Overview",'Theo dõi'!$B$2:$B$601,"Q19")-COUNTIFS('Theo dõi'!$A$2:$A$601,$A16,'Theo dõi'!$D$2:$D$601,"Google AI Overview",'Theo dõi'!$B$2:$B$601,"Q20"))=0,"",(COUNTIFS('Theo dõi'!$A$2:$A$601,$A16,'Theo dõi'!$D$2:$D$601,"Google AI Overview",'Theo dõi'!$F$2:$F$601,"Có")-COUNTIFS('Theo dõi'!$A$2:$A$601,$A16,'Theo dõi'!$D$2:$D$601,"Google AI Overview",'Theo dõi'!$F$2:$F$601,"Có",'Theo dõi'!$B$2:$B$601,"Q18")-COUNTIFS('Theo dõi'!$A$2:$A$601,$A16,'Theo dõi'!$D$2:$D$601,"Google AI Overview",'Theo dõi'!$F$2:$F$601,"Có",'Theo dõi'!$B$2:$B$601,"Q19")-COUNTIFS('Theo dõi'!$A$2:$A$601,$A16,'Theo dõi'!$D$2:$D$601,"Google AI Overview",'Theo dõi'!$F$2:$F$601,"Có",'Theo dõi'!$B$2:$B$601,"Q20"))/(COUNTIFS('Theo dõi'!$A$2:$A$601,$A16,'Theo dõi'!$D$2:$D$601,"Google AI Overview")-COUNTIFS('Theo dõi'!$A$2:$A$601,$A16,'Theo dõi'!$D$2:$D$601,"Google AI Overview",'Theo dõi'!$B$2:$B$601,"Q18")-COUNTIFS('Theo dõi'!$A$2:$A$601,$A16,'Theo dõi'!$D$2:$D$601,"Google AI Overview",'Theo dõi'!$B$2:$B$601,"Q19")-COUNTIFS('Theo dõi'!$A$2:$A$601,$A16,'Theo dõi'!$D$2:$D$601,"Google AI Overview",'Theo dõi'!$B$2:$B$601,"Q20")))</f>
        <v/>
      </c>
      <c r="G16" s="16" t="str">
        <f aca="false">IF((COUNTIFS('Theo dõi'!$A$2:$A$601,$A16,'Theo dõi'!$D$2:$D$601,"Copilot")-COUNTIFS('Theo dõi'!$A$2:$A$601,$A16,'Theo dõi'!$D$2:$D$601,"Copilot",'Theo dõi'!$B$2:$B$601,"Q18")-COUNTIFS('Theo dõi'!$A$2:$A$601,$A16,'Theo dõi'!$D$2:$D$601,"Copilot",'Theo dõi'!$B$2:$B$601,"Q19")-COUNTIFS('Theo dõi'!$A$2:$A$601,$A16,'Theo dõi'!$D$2:$D$601,"Copilot",'Theo dõi'!$B$2:$B$601,"Q20"))=0,"",(COUNTIFS('Theo dõi'!$A$2:$A$601,$A16,'Theo dõi'!$D$2:$D$601,"Copilot",'Theo dõi'!$F$2:$F$601,"Có")-COUNTIFS('Theo dõi'!$A$2:$A$601,$A16,'Theo dõi'!$D$2:$D$601,"Copilot",'Theo dõi'!$F$2:$F$601,"Có",'Theo dõi'!$B$2:$B$601,"Q18")-COUNTIFS('Theo dõi'!$A$2:$A$601,$A16,'Theo dõi'!$D$2:$D$601,"Copilot",'Theo dõi'!$F$2:$F$601,"Có",'Theo dõi'!$B$2:$B$601,"Q19")-COUNTIFS('Theo dõi'!$A$2:$A$601,$A16,'Theo dõi'!$D$2:$D$601,"Copilot",'Theo dõi'!$F$2:$F$601,"Có",'Theo dõi'!$B$2:$B$601,"Q20"))/(COUNTIFS('Theo dõi'!$A$2:$A$601,$A16,'Theo dõi'!$D$2:$D$601,"Copilot")-COUNTIFS('Theo dõi'!$A$2:$A$601,$A16,'Theo dõi'!$D$2:$D$601,"Copilot",'Theo dõi'!$B$2:$B$601,"Q18")-COUNTIFS('Theo dõi'!$A$2:$A$601,$A16,'Theo dõi'!$D$2:$D$601,"Copilot",'Theo dõi'!$B$2:$B$601,"Q19")-COUNTIFS('Theo dõi'!$A$2:$A$601,$A16,'Theo dõi'!$D$2:$D$601,"Copilot",'Theo dõi'!$B$2:$B$601,"Q20")))</f>
        <v/>
      </c>
      <c r="H16" s="17" t="str">
        <f aca="false">IF((COUNTIFS('Theo dõi'!$A$2:$A$601,$A16,'Theo dõi'!$D$2:$D$601,"&lt;&gt;")-COUNTIFS('Theo dõi'!$A$2:$A$601,$A16,'Theo dõi'!$D$2:$D$601,"&lt;&gt;",'Theo dõi'!$B$2:$B$601,"Q18")-COUNTIFS('Theo dõi'!$A$2:$A$601,$A16,'Theo dõi'!$D$2:$D$601,"&lt;&gt;",'Theo dõi'!$B$2:$B$601,"Q19")-COUNTIFS('Theo dõi'!$A$2:$A$601,$A16,'Theo dõi'!$D$2:$D$601,"&lt;&gt;",'Theo dõi'!$B$2:$B$601,"Q20"))=0,"",(COUNTIFS('Theo dõi'!$A$2:$A$601,$A16,'Theo dõi'!$D$2:$D$601,"&lt;&gt;",'Theo dõi'!$F$2:$F$601,"Có")-COUNTIFS('Theo dõi'!$A$2:$A$601,$A16,'Theo dõi'!$D$2:$D$601,"&lt;&gt;",'Theo dõi'!$F$2:$F$601,"Có",'Theo dõi'!$B$2:$B$601,"Q18")-COUNTIFS('Theo dõi'!$A$2:$A$601,$A16,'Theo dõi'!$D$2:$D$601,"&lt;&gt;",'Theo dõi'!$F$2:$F$601,"Có",'Theo dõi'!$B$2:$B$601,"Q19")-COUNTIFS('Theo dõi'!$A$2:$A$601,$A16,'Theo dõi'!$D$2:$D$601,"&lt;&gt;",'Theo dõi'!$F$2:$F$601,"Có",'Theo dõi'!$B$2:$B$601,"Q20"))/(COUNTIFS('Theo dõi'!$A$2:$A$601,$A16,'Theo dõi'!$D$2:$D$601,"&lt;&gt;")-COUNTIFS('Theo dõi'!$A$2:$A$601,$A16,'Theo dõi'!$D$2:$D$601,"&lt;&gt;",'Theo dõi'!$B$2:$B$601,"Q18")-COUNTIFS('Theo dõi'!$A$2:$A$601,$A16,'Theo dõi'!$D$2:$D$601,"&lt;&gt;",'Theo dõi'!$B$2:$B$601,"Q19")-COUNTIFS('Theo dõi'!$A$2:$A$601,$A16,'Theo dõi'!$D$2:$D$601,"&lt;&gt;",'Theo dõi'!$B$2:$B$601,"Q20")))</f>
        <v/>
      </c>
    </row>
    <row r="17" customFormat="false" ht="15" hidden="false" customHeight="false" outlineLevel="0" collapsed="false">
      <c r="A17" s="14" t="s">
        <v>138</v>
      </c>
      <c r="B17" s="15" t="n">
        <f aca="false">COUNTIFS('Theo dõi'!$A$2:$A$601,$A17,'Theo dõi'!$D$2:$D$601,"&lt;&gt;")-COUNTIFS('Theo dõi'!$A$2:$A$601,$A17,'Theo dõi'!$D$2:$D$601,"&lt;&gt;",'Theo dõi'!$B$2:$B$601,"Q18")-COUNTIFS('Theo dõi'!$A$2:$A$601,$A17,'Theo dõi'!$D$2:$D$601,"&lt;&gt;",'Theo dõi'!$B$2:$B$601,"Q19")-COUNTIFS('Theo dõi'!$A$2:$A$601,$A17,'Theo dõi'!$D$2:$D$601,"&lt;&gt;",'Theo dõi'!$B$2:$B$601,"Q20")</f>
        <v>0</v>
      </c>
      <c r="C17" s="16" t="str">
        <f aca="false">IF((COUNTIFS('Theo dõi'!$A$2:$A$601,$A17,'Theo dõi'!$D$2:$D$601,"ChatGPT")-COUNTIFS('Theo dõi'!$A$2:$A$601,$A17,'Theo dõi'!$D$2:$D$601,"ChatGPT",'Theo dõi'!$B$2:$B$601,"Q18")-COUNTIFS('Theo dõi'!$A$2:$A$601,$A17,'Theo dõi'!$D$2:$D$601,"ChatGPT",'Theo dõi'!$B$2:$B$601,"Q19")-COUNTIFS('Theo dõi'!$A$2:$A$601,$A17,'Theo dõi'!$D$2:$D$601,"ChatGPT",'Theo dõi'!$B$2:$B$601,"Q20"))=0,"",(COUNTIFS('Theo dõi'!$A$2:$A$601,$A17,'Theo dõi'!$D$2:$D$601,"ChatGPT",'Theo dõi'!$F$2:$F$601,"Có")-COUNTIFS('Theo dõi'!$A$2:$A$601,$A17,'Theo dõi'!$D$2:$D$601,"ChatGPT",'Theo dõi'!$F$2:$F$601,"Có",'Theo dõi'!$B$2:$B$601,"Q18")-COUNTIFS('Theo dõi'!$A$2:$A$601,$A17,'Theo dõi'!$D$2:$D$601,"ChatGPT",'Theo dõi'!$F$2:$F$601,"Có",'Theo dõi'!$B$2:$B$601,"Q19")-COUNTIFS('Theo dõi'!$A$2:$A$601,$A17,'Theo dõi'!$D$2:$D$601,"ChatGPT",'Theo dõi'!$F$2:$F$601,"Có",'Theo dõi'!$B$2:$B$601,"Q20"))/(COUNTIFS('Theo dõi'!$A$2:$A$601,$A17,'Theo dõi'!$D$2:$D$601,"ChatGPT")-COUNTIFS('Theo dõi'!$A$2:$A$601,$A17,'Theo dõi'!$D$2:$D$601,"ChatGPT",'Theo dõi'!$B$2:$B$601,"Q18")-COUNTIFS('Theo dõi'!$A$2:$A$601,$A17,'Theo dõi'!$D$2:$D$601,"ChatGPT",'Theo dõi'!$B$2:$B$601,"Q19")-COUNTIFS('Theo dõi'!$A$2:$A$601,$A17,'Theo dõi'!$D$2:$D$601,"ChatGPT",'Theo dõi'!$B$2:$B$601,"Q20")))</f>
        <v/>
      </c>
      <c r="D17" s="16" t="str">
        <f aca="false">IF((COUNTIFS('Theo dõi'!$A$2:$A$601,$A17,'Theo dõi'!$D$2:$D$601,"Perplexity")-COUNTIFS('Theo dõi'!$A$2:$A$601,$A17,'Theo dõi'!$D$2:$D$601,"Perplexity",'Theo dõi'!$B$2:$B$601,"Q18")-COUNTIFS('Theo dõi'!$A$2:$A$601,$A17,'Theo dõi'!$D$2:$D$601,"Perplexity",'Theo dõi'!$B$2:$B$601,"Q19")-COUNTIFS('Theo dõi'!$A$2:$A$601,$A17,'Theo dõi'!$D$2:$D$601,"Perplexity",'Theo dõi'!$B$2:$B$601,"Q20"))=0,"",(COUNTIFS('Theo dõi'!$A$2:$A$601,$A17,'Theo dõi'!$D$2:$D$601,"Perplexity",'Theo dõi'!$F$2:$F$601,"Có")-COUNTIFS('Theo dõi'!$A$2:$A$601,$A17,'Theo dõi'!$D$2:$D$601,"Perplexity",'Theo dõi'!$F$2:$F$601,"Có",'Theo dõi'!$B$2:$B$601,"Q18")-COUNTIFS('Theo dõi'!$A$2:$A$601,$A17,'Theo dõi'!$D$2:$D$601,"Perplexity",'Theo dõi'!$F$2:$F$601,"Có",'Theo dõi'!$B$2:$B$601,"Q19")-COUNTIFS('Theo dõi'!$A$2:$A$601,$A17,'Theo dõi'!$D$2:$D$601,"Perplexity",'Theo dõi'!$F$2:$F$601,"Có",'Theo dõi'!$B$2:$B$601,"Q20"))/(COUNTIFS('Theo dõi'!$A$2:$A$601,$A17,'Theo dõi'!$D$2:$D$601,"Perplexity")-COUNTIFS('Theo dõi'!$A$2:$A$601,$A17,'Theo dõi'!$D$2:$D$601,"Perplexity",'Theo dõi'!$B$2:$B$601,"Q18")-COUNTIFS('Theo dõi'!$A$2:$A$601,$A17,'Theo dõi'!$D$2:$D$601,"Perplexity",'Theo dõi'!$B$2:$B$601,"Q19")-COUNTIFS('Theo dõi'!$A$2:$A$601,$A17,'Theo dõi'!$D$2:$D$601,"Perplexity",'Theo dõi'!$B$2:$B$601,"Q20")))</f>
        <v/>
      </c>
      <c r="E17" s="16" t="str">
        <f aca="false">IF((COUNTIFS('Theo dõi'!$A$2:$A$601,$A17,'Theo dõi'!$D$2:$D$601,"Gemini")-COUNTIFS('Theo dõi'!$A$2:$A$601,$A17,'Theo dõi'!$D$2:$D$601,"Gemini",'Theo dõi'!$B$2:$B$601,"Q18")-COUNTIFS('Theo dõi'!$A$2:$A$601,$A17,'Theo dõi'!$D$2:$D$601,"Gemini",'Theo dõi'!$B$2:$B$601,"Q19")-COUNTIFS('Theo dõi'!$A$2:$A$601,$A17,'Theo dõi'!$D$2:$D$601,"Gemini",'Theo dõi'!$B$2:$B$601,"Q20"))=0,"",(COUNTIFS('Theo dõi'!$A$2:$A$601,$A17,'Theo dõi'!$D$2:$D$601,"Gemini",'Theo dõi'!$F$2:$F$601,"Có")-COUNTIFS('Theo dõi'!$A$2:$A$601,$A17,'Theo dõi'!$D$2:$D$601,"Gemini",'Theo dõi'!$F$2:$F$601,"Có",'Theo dõi'!$B$2:$B$601,"Q18")-COUNTIFS('Theo dõi'!$A$2:$A$601,$A17,'Theo dõi'!$D$2:$D$601,"Gemini",'Theo dõi'!$F$2:$F$601,"Có",'Theo dõi'!$B$2:$B$601,"Q19")-COUNTIFS('Theo dõi'!$A$2:$A$601,$A17,'Theo dõi'!$D$2:$D$601,"Gemini",'Theo dõi'!$F$2:$F$601,"Có",'Theo dõi'!$B$2:$B$601,"Q20"))/(COUNTIFS('Theo dõi'!$A$2:$A$601,$A17,'Theo dõi'!$D$2:$D$601,"Gemini")-COUNTIFS('Theo dõi'!$A$2:$A$601,$A17,'Theo dõi'!$D$2:$D$601,"Gemini",'Theo dõi'!$B$2:$B$601,"Q18")-COUNTIFS('Theo dõi'!$A$2:$A$601,$A17,'Theo dõi'!$D$2:$D$601,"Gemini",'Theo dõi'!$B$2:$B$601,"Q19")-COUNTIFS('Theo dõi'!$A$2:$A$601,$A17,'Theo dõi'!$D$2:$D$601,"Gemini",'Theo dõi'!$B$2:$B$601,"Q20")))</f>
        <v/>
      </c>
      <c r="F17" s="16" t="str">
        <f aca="false">IF((COUNTIFS('Theo dõi'!$A$2:$A$601,$A17,'Theo dõi'!$D$2:$D$601,"Google AI Overview")-COUNTIFS('Theo dõi'!$A$2:$A$601,$A17,'Theo dõi'!$D$2:$D$601,"Google AI Overview",'Theo dõi'!$B$2:$B$601,"Q18")-COUNTIFS('Theo dõi'!$A$2:$A$601,$A17,'Theo dõi'!$D$2:$D$601,"Google AI Overview",'Theo dõi'!$B$2:$B$601,"Q19")-COUNTIFS('Theo dõi'!$A$2:$A$601,$A17,'Theo dõi'!$D$2:$D$601,"Google AI Overview",'Theo dõi'!$B$2:$B$601,"Q20"))=0,"",(COUNTIFS('Theo dõi'!$A$2:$A$601,$A17,'Theo dõi'!$D$2:$D$601,"Google AI Overview",'Theo dõi'!$F$2:$F$601,"Có")-COUNTIFS('Theo dõi'!$A$2:$A$601,$A17,'Theo dõi'!$D$2:$D$601,"Google AI Overview",'Theo dõi'!$F$2:$F$601,"Có",'Theo dõi'!$B$2:$B$601,"Q18")-COUNTIFS('Theo dõi'!$A$2:$A$601,$A17,'Theo dõi'!$D$2:$D$601,"Google AI Overview",'Theo dõi'!$F$2:$F$601,"Có",'Theo dõi'!$B$2:$B$601,"Q19")-COUNTIFS('Theo dõi'!$A$2:$A$601,$A17,'Theo dõi'!$D$2:$D$601,"Google AI Overview",'Theo dõi'!$F$2:$F$601,"Có",'Theo dõi'!$B$2:$B$601,"Q20"))/(COUNTIFS('Theo dõi'!$A$2:$A$601,$A17,'Theo dõi'!$D$2:$D$601,"Google AI Overview")-COUNTIFS('Theo dõi'!$A$2:$A$601,$A17,'Theo dõi'!$D$2:$D$601,"Google AI Overview",'Theo dõi'!$B$2:$B$601,"Q18")-COUNTIFS('Theo dõi'!$A$2:$A$601,$A17,'Theo dõi'!$D$2:$D$601,"Google AI Overview",'Theo dõi'!$B$2:$B$601,"Q19")-COUNTIFS('Theo dõi'!$A$2:$A$601,$A17,'Theo dõi'!$D$2:$D$601,"Google AI Overview",'Theo dõi'!$B$2:$B$601,"Q20")))</f>
        <v/>
      </c>
      <c r="G17" s="16" t="str">
        <f aca="false">IF((COUNTIFS('Theo dõi'!$A$2:$A$601,$A17,'Theo dõi'!$D$2:$D$601,"Copilot")-COUNTIFS('Theo dõi'!$A$2:$A$601,$A17,'Theo dõi'!$D$2:$D$601,"Copilot",'Theo dõi'!$B$2:$B$601,"Q18")-COUNTIFS('Theo dõi'!$A$2:$A$601,$A17,'Theo dõi'!$D$2:$D$601,"Copilot",'Theo dõi'!$B$2:$B$601,"Q19")-COUNTIFS('Theo dõi'!$A$2:$A$601,$A17,'Theo dõi'!$D$2:$D$601,"Copilot",'Theo dõi'!$B$2:$B$601,"Q20"))=0,"",(COUNTIFS('Theo dõi'!$A$2:$A$601,$A17,'Theo dõi'!$D$2:$D$601,"Copilot",'Theo dõi'!$F$2:$F$601,"Có")-COUNTIFS('Theo dõi'!$A$2:$A$601,$A17,'Theo dõi'!$D$2:$D$601,"Copilot",'Theo dõi'!$F$2:$F$601,"Có",'Theo dõi'!$B$2:$B$601,"Q18")-COUNTIFS('Theo dõi'!$A$2:$A$601,$A17,'Theo dõi'!$D$2:$D$601,"Copilot",'Theo dõi'!$F$2:$F$601,"Có",'Theo dõi'!$B$2:$B$601,"Q19")-COUNTIFS('Theo dõi'!$A$2:$A$601,$A17,'Theo dõi'!$D$2:$D$601,"Copilot",'Theo dõi'!$F$2:$F$601,"Có",'Theo dõi'!$B$2:$B$601,"Q20"))/(COUNTIFS('Theo dõi'!$A$2:$A$601,$A17,'Theo dõi'!$D$2:$D$601,"Copilot")-COUNTIFS('Theo dõi'!$A$2:$A$601,$A17,'Theo dõi'!$D$2:$D$601,"Copilot",'Theo dõi'!$B$2:$B$601,"Q18")-COUNTIFS('Theo dõi'!$A$2:$A$601,$A17,'Theo dõi'!$D$2:$D$601,"Copilot",'Theo dõi'!$B$2:$B$601,"Q19")-COUNTIFS('Theo dõi'!$A$2:$A$601,$A17,'Theo dõi'!$D$2:$D$601,"Copilot",'Theo dõi'!$B$2:$B$601,"Q20")))</f>
        <v/>
      </c>
      <c r="H17" s="17" t="str">
        <f aca="false">IF((COUNTIFS('Theo dõi'!$A$2:$A$601,$A17,'Theo dõi'!$D$2:$D$601,"&lt;&gt;")-COUNTIFS('Theo dõi'!$A$2:$A$601,$A17,'Theo dõi'!$D$2:$D$601,"&lt;&gt;",'Theo dõi'!$B$2:$B$601,"Q18")-COUNTIFS('Theo dõi'!$A$2:$A$601,$A17,'Theo dõi'!$D$2:$D$601,"&lt;&gt;",'Theo dõi'!$B$2:$B$601,"Q19")-COUNTIFS('Theo dõi'!$A$2:$A$601,$A17,'Theo dõi'!$D$2:$D$601,"&lt;&gt;",'Theo dõi'!$B$2:$B$601,"Q20"))=0,"",(COUNTIFS('Theo dõi'!$A$2:$A$601,$A17,'Theo dõi'!$D$2:$D$601,"&lt;&gt;",'Theo dõi'!$F$2:$F$601,"Có")-COUNTIFS('Theo dõi'!$A$2:$A$601,$A17,'Theo dõi'!$D$2:$D$601,"&lt;&gt;",'Theo dõi'!$F$2:$F$601,"Có",'Theo dõi'!$B$2:$B$601,"Q18")-COUNTIFS('Theo dõi'!$A$2:$A$601,$A17,'Theo dõi'!$D$2:$D$601,"&lt;&gt;",'Theo dõi'!$F$2:$F$601,"Có",'Theo dõi'!$B$2:$B$601,"Q19")-COUNTIFS('Theo dõi'!$A$2:$A$601,$A17,'Theo dõi'!$D$2:$D$601,"&lt;&gt;",'Theo dõi'!$F$2:$F$601,"Có",'Theo dõi'!$B$2:$B$601,"Q20"))/(COUNTIFS('Theo dõi'!$A$2:$A$601,$A17,'Theo dõi'!$D$2:$D$601,"&lt;&gt;")-COUNTIFS('Theo dõi'!$A$2:$A$601,$A17,'Theo dõi'!$D$2:$D$601,"&lt;&gt;",'Theo dõi'!$B$2:$B$601,"Q18")-COUNTIFS('Theo dõi'!$A$2:$A$601,$A17,'Theo dõi'!$D$2:$D$601,"&lt;&gt;",'Theo dõi'!$B$2:$B$601,"Q19")-COUNTIFS('Theo dõi'!$A$2:$A$601,$A17,'Theo dõi'!$D$2:$D$601,"&lt;&gt;",'Theo dõi'!$B$2:$B$601,"Q20")))</f>
        <v/>
      </c>
    </row>
    <row r="18" customFormat="false" ht="15" hidden="false" customHeight="false" outlineLevel="0" collapsed="false">
      <c r="A18" s="14" t="s">
        <v>139</v>
      </c>
      <c r="B18" s="15" t="n">
        <f aca="false">COUNTIFS('Theo dõi'!$A$2:$A$601,$A18,'Theo dõi'!$D$2:$D$601,"&lt;&gt;")-COUNTIFS('Theo dõi'!$A$2:$A$601,$A18,'Theo dõi'!$D$2:$D$601,"&lt;&gt;",'Theo dõi'!$B$2:$B$601,"Q18")-COUNTIFS('Theo dõi'!$A$2:$A$601,$A18,'Theo dõi'!$D$2:$D$601,"&lt;&gt;",'Theo dõi'!$B$2:$B$601,"Q19")-COUNTIFS('Theo dõi'!$A$2:$A$601,$A18,'Theo dõi'!$D$2:$D$601,"&lt;&gt;",'Theo dõi'!$B$2:$B$601,"Q20")</f>
        <v>0</v>
      </c>
      <c r="C18" s="16" t="str">
        <f aca="false">IF((COUNTIFS('Theo dõi'!$A$2:$A$601,$A18,'Theo dõi'!$D$2:$D$601,"ChatGPT")-COUNTIFS('Theo dõi'!$A$2:$A$601,$A18,'Theo dõi'!$D$2:$D$601,"ChatGPT",'Theo dõi'!$B$2:$B$601,"Q18")-COUNTIFS('Theo dõi'!$A$2:$A$601,$A18,'Theo dõi'!$D$2:$D$601,"ChatGPT",'Theo dõi'!$B$2:$B$601,"Q19")-COUNTIFS('Theo dõi'!$A$2:$A$601,$A18,'Theo dõi'!$D$2:$D$601,"ChatGPT",'Theo dõi'!$B$2:$B$601,"Q20"))=0,"",(COUNTIFS('Theo dõi'!$A$2:$A$601,$A18,'Theo dõi'!$D$2:$D$601,"ChatGPT",'Theo dõi'!$F$2:$F$601,"Có")-COUNTIFS('Theo dõi'!$A$2:$A$601,$A18,'Theo dõi'!$D$2:$D$601,"ChatGPT",'Theo dõi'!$F$2:$F$601,"Có",'Theo dõi'!$B$2:$B$601,"Q18")-COUNTIFS('Theo dõi'!$A$2:$A$601,$A18,'Theo dõi'!$D$2:$D$601,"ChatGPT",'Theo dõi'!$F$2:$F$601,"Có",'Theo dõi'!$B$2:$B$601,"Q19")-COUNTIFS('Theo dõi'!$A$2:$A$601,$A18,'Theo dõi'!$D$2:$D$601,"ChatGPT",'Theo dõi'!$F$2:$F$601,"Có",'Theo dõi'!$B$2:$B$601,"Q20"))/(COUNTIFS('Theo dõi'!$A$2:$A$601,$A18,'Theo dõi'!$D$2:$D$601,"ChatGPT")-COUNTIFS('Theo dõi'!$A$2:$A$601,$A18,'Theo dõi'!$D$2:$D$601,"ChatGPT",'Theo dõi'!$B$2:$B$601,"Q18")-COUNTIFS('Theo dõi'!$A$2:$A$601,$A18,'Theo dõi'!$D$2:$D$601,"ChatGPT",'Theo dõi'!$B$2:$B$601,"Q19")-COUNTIFS('Theo dõi'!$A$2:$A$601,$A18,'Theo dõi'!$D$2:$D$601,"ChatGPT",'Theo dõi'!$B$2:$B$601,"Q20")))</f>
        <v/>
      </c>
      <c r="D18" s="16" t="str">
        <f aca="false">IF((COUNTIFS('Theo dõi'!$A$2:$A$601,$A18,'Theo dõi'!$D$2:$D$601,"Perplexity")-COUNTIFS('Theo dõi'!$A$2:$A$601,$A18,'Theo dõi'!$D$2:$D$601,"Perplexity",'Theo dõi'!$B$2:$B$601,"Q18")-COUNTIFS('Theo dõi'!$A$2:$A$601,$A18,'Theo dõi'!$D$2:$D$601,"Perplexity",'Theo dõi'!$B$2:$B$601,"Q19")-COUNTIFS('Theo dõi'!$A$2:$A$601,$A18,'Theo dõi'!$D$2:$D$601,"Perplexity",'Theo dõi'!$B$2:$B$601,"Q20"))=0,"",(COUNTIFS('Theo dõi'!$A$2:$A$601,$A18,'Theo dõi'!$D$2:$D$601,"Perplexity",'Theo dõi'!$F$2:$F$601,"Có")-COUNTIFS('Theo dõi'!$A$2:$A$601,$A18,'Theo dõi'!$D$2:$D$601,"Perplexity",'Theo dõi'!$F$2:$F$601,"Có",'Theo dõi'!$B$2:$B$601,"Q18")-COUNTIFS('Theo dõi'!$A$2:$A$601,$A18,'Theo dõi'!$D$2:$D$601,"Perplexity",'Theo dõi'!$F$2:$F$601,"Có",'Theo dõi'!$B$2:$B$601,"Q19")-COUNTIFS('Theo dõi'!$A$2:$A$601,$A18,'Theo dõi'!$D$2:$D$601,"Perplexity",'Theo dõi'!$F$2:$F$601,"Có",'Theo dõi'!$B$2:$B$601,"Q20"))/(COUNTIFS('Theo dõi'!$A$2:$A$601,$A18,'Theo dõi'!$D$2:$D$601,"Perplexity")-COUNTIFS('Theo dõi'!$A$2:$A$601,$A18,'Theo dõi'!$D$2:$D$601,"Perplexity",'Theo dõi'!$B$2:$B$601,"Q18")-COUNTIFS('Theo dõi'!$A$2:$A$601,$A18,'Theo dõi'!$D$2:$D$601,"Perplexity",'Theo dõi'!$B$2:$B$601,"Q19")-COUNTIFS('Theo dõi'!$A$2:$A$601,$A18,'Theo dõi'!$D$2:$D$601,"Perplexity",'Theo dõi'!$B$2:$B$601,"Q20")))</f>
        <v/>
      </c>
      <c r="E18" s="16" t="str">
        <f aca="false">IF((COUNTIFS('Theo dõi'!$A$2:$A$601,$A18,'Theo dõi'!$D$2:$D$601,"Gemini")-COUNTIFS('Theo dõi'!$A$2:$A$601,$A18,'Theo dõi'!$D$2:$D$601,"Gemini",'Theo dõi'!$B$2:$B$601,"Q18")-COUNTIFS('Theo dõi'!$A$2:$A$601,$A18,'Theo dõi'!$D$2:$D$601,"Gemini",'Theo dõi'!$B$2:$B$601,"Q19")-COUNTIFS('Theo dõi'!$A$2:$A$601,$A18,'Theo dõi'!$D$2:$D$601,"Gemini",'Theo dõi'!$B$2:$B$601,"Q20"))=0,"",(COUNTIFS('Theo dõi'!$A$2:$A$601,$A18,'Theo dõi'!$D$2:$D$601,"Gemini",'Theo dõi'!$F$2:$F$601,"Có")-COUNTIFS('Theo dõi'!$A$2:$A$601,$A18,'Theo dõi'!$D$2:$D$601,"Gemini",'Theo dõi'!$F$2:$F$601,"Có",'Theo dõi'!$B$2:$B$601,"Q18")-COUNTIFS('Theo dõi'!$A$2:$A$601,$A18,'Theo dõi'!$D$2:$D$601,"Gemini",'Theo dõi'!$F$2:$F$601,"Có",'Theo dõi'!$B$2:$B$601,"Q19")-COUNTIFS('Theo dõi'!$A$2:$A$601,$A18,'Theo dõi'!$D$2:$D$601,"Gemini",'Theo dõi'!$F$2:$F$601,"Có",'Theo dõi'!$B$2:$B$601,"Q20"))/(COUNTIFS('Theo dõi'!$A$2:$A$601,$A18,'Theo dõi'!$D$2:$D$601,"Gemini")-COUNTIFS('Theo dõi'!$A$2:$A$601,$A18,'Theo dõi'!$D$2:$D$601,"Gemini",'Theo dõi'!$B$2:$B$601,"Q18")-COUNTIFS('Theo dõi'!$A$2:$A$601,$A18,'Theo dõi'!$D$2:$D$601,"Gemini",'Theo dõi'!$B$2:$B$601,"Q19")-COUNTIFS('Theo dõi'!$A$2:$A$601,$A18,'Theo dõi'!$D$2:$D$601,"Gemini",'Theo dõi'!$B$2:$B$601,"Q20")))</f>
        <v/>
      </c>
      <c r="F18" s="16" t="str">
        <f aca="false">IF((COUNTIFS('Theo dõi'!$A$2:$A$601,$A18,'Theo dõi'!$D$2:$D$601,"Google AI Overview")-COUNTIFS('Theo dõi'!$A$2:$A$601,$A18,'Theo dõi'!$D$2:$D$601,"Google AI Overview",'Theo dõi'!$B$2:$B$601,"Q18")-COUNTIFS('Theo dõi'!$A$2:$A$601,$A18,'Theo dõi'!$D$2:$D$601,"Google AI Overview",'Theo dõi'!$B$2:$B$601,"Q19")-COUNTIFS('Theo dõi'!$A$2:$A$601,$A18,'Theo dõi'!$D$2:$D$601,"Google AI Overview",'Theo dõi'!$B$2:$B$601,"Q20"))=0,"",(COUNTIFS('Theo dõi'!$A$2:$A$601,$A18,'Theo dõi'!$D$2:$D$601,"Google AI Overview",'Theo dõi'!$F$2:$F$601,"Có")-COUNTIFS('Theo dõi'!$A$2:$A$601,$A18,'Theo dõi'!$D$2:$D$601,"Google AI Overview",'Theo dõi'!$F$2:$F$601,"Có",'Theo dõi'!$B$2:$B$601,"Q18")-COUNTIFS('Theo dõi'!$A$2:$A$601,$A18,'Theo dõi'!$D$2:$D$601,"Google AI Overview",'Theo dõi'!$F$2:$F$601,"Có",'Theo dõi'!$B$2:$B$601,"Q19")-COUNTIFS('Theo dõi'!$A$2:$A$601,$A18,'Theo dõi'!$D$2:$D$601,"Google AI Overview",'Theo dõi'!$F$2:$F$601,"Có",'Theo dõi'!$B$2:$B$601,"Q20"))/(COUNTIFS('Theo dõi'!$A$2:$A$601,$A18,'Theo dõi'!$D$2:$D$601,"Google AI Overview")-COUNTIFS('Theo dõi'!$A$2:$A$601,$A18,'Theo dõi'!$D$2:$D$601,"Google AI Overview",'Theo dõi'!$B$2:$B$601,"Q18")-COUNTIFS('Theo dõi'!$A$2:$A$601,$A18,'Theo dõi'!$D$2:$D$601,"Google AI Overview",'Theo dõi'!$B$2:$B$601,"Q19")-COUNTIFS('Theo dõi'!$A$2:$A$601,$A18,'Theo dõi'!$D$2:$D$601,"Google AI Overview",'Theo dõi'!$B$2:$B$601,"Q20")))</f>
        <v/>
      </c>
      <c r="G18" s="16" t="str">
        <f aca="false">IF((COUNTIFS('Theo dõi'!$A$2:$A$601,$A18,'Theo dõi'!$D$2:$D$601,"Copilot")-COUNTIFS('Theo dõi'!$A$2:$A$601,$A18,'Theo dõi'!$D$2:$D$601,"Copilot",'Theo dõi'!$B$2:$B$601,"Q18")-COUNTIFS('Theo dõi'!$A$2:$A$601,$A18,'Theo dõi'!$D$2:$D$601,"Copilot",'Theo dõi'!$B$2:$B$601,"Q19")-COUNTIFS('Theo dõi'!$A$2:$A$601,$A18,'Theo dõi'!$D$2:$D$601,"Copilot",'Theo dõi'!$B$2:$B$601,"Q20"))=0,"",(COUNTIFS('Theo dõi'!$A$2:$A$601,$A18,'Theo dõi'!$D$2:$D$601,"Copilot",'Theo dõi'!$F$2:$F$601,"Có")-COUNTIFS('Theo dõi'!$A$2:$A$601,$A18,'Theo dõi'!$D$2:$D$601,"Copilot",'Theo dõi'!$F$2:$F$601,"Có",'Theo dõi'!$B$2:$B$601,"Q18")-COUNTIFS('Theo dõi'!$A$2:$A$601,$A18,'Theo dõi'!$D$2:$D$601,"Copilot",'Theo dõi'!$F$2:$F$601,"Có",'Theo dõi'!$B$2:$B$601,"Q19")-COUNTIFS('Theo dõi'!$A$2:$A$601,$A18,'Theo dõi'!$D$2:$D$601,"Copilot",'Theo dõi'!$F$2:$F$601,"Có",'Theo dõi'!$B$2:$B$601,"Q20"))/(COUNTIFS('Theo dõi'!$A$2:$A$601,$A18,'Theo dõi'!$D$2:$D$601,"Copilot")-COUNTIFS('Theo dõi'!$A$2:$A$601,$A18,'Theo dõi'!$D$2:$D$601,"Copilot",'Theo dõi'!$B$2:$B$601,"Q18")-COUNTIFS('Theo dõi'!$A$2:$A$601,$A18,'Theo dõi'!$D$2:$D$601,"Copilot",'Theo dõi'!$B$2:$B$601,"Q19")-COUNTIFS('Theo dõi'!$A$2:$A$601,$A18,'Theo dõi'!$D$2:$D$601,"Copilot",'Theo dõi'!$B$2:$B$601,"Q20")))</f>
        <v/>
      </c>
      <c r="H18" s="17" t="str">
        <f aca="false">IF((COUNTIFS('Theo dõi'!$A$2:$A$601,$A18,'Theo dõi'!$D$2:$D$601,"&lt;&gt;")-COUNTIFS('Theo dõi'!$A$2:$A$601,$A18,'Theo dõi'!$D$2:$D$601,"&lt;&gt;",'Theo dõi'!$B$2:$B$601,"Q18")-COUNTIFS('Theo dõi'!$A$2:$A$601,$A18,'Theo dõi'!$D$2:$D$601,"&lt;&gt;",'Theo dõi'!$B$2:$B$601,"Q19")-COUNTIFS('Theo dõi'!$A$2:$A$601,$A18,'Theo dõi'!$D$2:$D$601,"&lt;&gt;",'Theo dõi'!$B$2:$B$601,"Q20"))=0,"",(COUNTIFS('Theo dõi'!$A$2:$A$601,$A18,'Theo dõi'!$D$2:$D$601,"&lt;&gt;",'Theo dõi'!$F$2:$F$601,"Có")-COUNTIFS('Theo dõi'!$A$2:$A$601,$A18,'Theo dõi'!$D$2:$D$601,"&lt;&gt;",'Theo dõi'!$F$2:$F$601,"Có",'Theo dõi'!$B$2:$B$601,"Q18")-COUNTIFS('Theo dõi'!$A$2:$A$601,$A18,'Theo dõi'!$D$2:$D$601,"&lt;&gt;",'Theo dõi'!$F$2:$F$601,"Có",'Theo dõi'!$B$2:$B$601,"Q19")-COUNTIFS('Theo dõi'!$A$2:$A$601,$A18,'Theo dõi'!$D$2:$D$601,"&lt;&gt;",'Theo dõi'!$F$2:$F$601,"Có",'Theo dõi'!$B$2:$B$601,"Q20"))/(COUNTIFS('Theo dõi'!$A$2:$A$601,$A18,'Theo dõi'!$D$2:$D$601,"&lt;&gt;")-COUNTIFS('Theo dõi'!$A$2:$A$601,$A18,'Theo dõi'!$D$2:$D$601,"&lt;&gt;",'Theo dõi'!$B$2:$B$601,"Q18")-COUNTIFS('Theo dõi'!$A$2:$A$601,$A18,'Theo dõi'!$D$2:$D$601,"&lt;&gt;",'Theo dõi'!$B$2:$B$601,"Q19")-COUNTIFS('Theo dõi'!$A$2:$A$601,$A18,'Theo dõi'!$D$2:$D$601,"&lt;&gt;",'Theo dõi'!$B$2:$B$601,"Q20")))</f>
        <v/>
      </c>
    </row>
    <row r="19" customFormat="false" ht="15" hidden="false" customHeight="false" outlineLevel="0" collapsed="false">
      <c r="A19" s="14" t="s">
        <v>140</v>
      </c>
      <c r="B19" s="15" t="n">
        <f aca="false">COUNTIFS('Theo dõi'!$A$2:$A$601,$A19,'Theo dõi'!$D$2:$D$601,"&lt;&gt;")-COUNTIFS('Theo dõi'!$A$2:$A$601,$A19,'Theo dõi'!$D$2:$D$601,"&lt;&gt;",'Theo dõi'!$B$2:$B$601,"Q18")-COUNTIFS('Theo dõi'!$A$2:$A$601,$A19,'Theo dõi'!$D$2:$D$601,"&lt;&gt;",'Theo dõi'!$B$2:$B$601,"Q19")-COUNTIFS('Theo dõi'!$A$2:$A$601,$A19,'Theo dõi'!$D$2:$D$601,"&lt;&gt;",'Theo dõi'!$B$2:$B$601,"Q20")</f>
        <v>0</v>
      </c>
      <c r="C19" s="16" t="str">
        <f aca="false">IF((COUNTIFS('Theo dõi'!$A$2:$A$601,$A19,'Theo dõi'!$D$2:$D$601,"ChatGPT")-COUNTIFS('Theo dõi'!$A$2:$A$601,$A19,'Theo dõi'!$D$2:$D$601,"ChatGPT",'Theo dõi'!$B$2:$B$601,"Q18")-COUNTIFS('Theo dõi'!$A$2:$A$601,$A19,'Theo dõi'!$D$2:$D$601,"ChatGPT",'Theo dõi'!$B$2:$B$601,"Q19")-COUNTIFS('Theo dõi'!$A$2:$A$601,$A19,'Theo dõi'!$D$2:$D$601,"ChatGPT",'Theo dõi'!$B$2:$B$601,"Q20"))=0,"",(COUNTIFS('Theo dõi'!$A$2:$A$601,$A19,'Theo dõi'!$D$2:$D$601,"ChatGPT",'Theo dõi'!$F$2:$F$601,"Có")-COUNTIFS('Theo dõi'!$A$2:$A$601,$A19,'Theo dõi'!$D$2:$D$601,"ChatGPT",'Theo dõi'!$F$2:$F$601,"Có",'Theo dõi'!$B$2:$B$601,"Q18")-COUNTIFS('Theo dõi'!$A$2:$A$601,$A19,'Theo dõi'!$D$2:$D$601,"ChatGPT",'Theo dõi'!$F$2:$F$601,"Có",'Theo dõi'!$B$2:$B$601,"Q19")-COUNTIFS('Theo dõi'!$A$2:$A$601,$A19,'Theo dõi'!$D$2:$D$601,"ChatGPT",'Theo dõi'!$F$2:$F$601,"Có",'Theo dõi'!$B$2:$B$601,"Q20"))/(COUNTIFS('Theo dõi'!$A$2:$A$601,$A19,'Theo dõi'!$D$2:$D$601,"ChatGPT")-COUNTIFS('Theo dõi'!$A$2:$A$601,$A19,'Theo dõi'!$D$2:$D$601,"ChatGPT",'Theo dõi'!$B$2:$B$601,"Q18")-COUNTIFS('Theo dõi'!$A$2:$A$601,$A19,'Theo dõi'!$D$2:$D$601,"ChatGPT",'Theo dõi'!$B$2:$B$601,"Q19")-COUNTIFS('Theo dõi'!$A$2:$A$601,$A19,'Theo dõi'!$D$2:$D$601,"ChatGPT",'Theo dõi'!$B$2:$B$601,"Q20")))</f>
        <v/>
      </c>
      <c r="D19" s="16" t="str">
        <f aca="false">IF((COUNTIFS('Theo dõi'!$A$2:$A$601,$A19,'Theo dõi'!$D$2:$D$601,"Perplexity")-COUNTIFS('Theo dõi'!$A$2:$A$601,$A19,'Theo dõi'!$D$2:$D$601,"Perplexity",'Theo dõi'!$B$2:$B$601,"Q18")-COUNTIFS('Theo dõi'!$A$2:$A$601,$A19,'Theo dõi'!$D$2:$D$601,"Perplexity",'Theo dõi'!$B$2:$B$601,"Q19")-COUNTIFS('Theo dõi'!$A$2:$A$601,$A19,'Theo dõi'!$D$2:$D$601,"Perplexity",'Theo dõi'!$B$2:$B$601,"Q20"))=0,"",(COUNTIFS('Theo dõi'!$A$2:$A$601,$A19,'Theo dõi'!$D$2:$D$601,"Perplexity",'Theo dõi'!$F$2:$F$601,"Có")-COUNTIFS('Theo dõi'!$A$2:$A$601,$A19,'Theo dõi'!$D$2:$D$601,"Perplexity",'Theo dõi'!$F$2:$F$601,"Có",'Theo dõi'!$B$2:$B$601,"Q18")-COUNTIFS('Theo dõi'!$A$2:$A$601,$A19,'Theo dõi'!$D$2:$D$601,"Perplexity",'Theo dõi'!$F$2:$F$601,"Có",'Theo dõi'!$B$2:$B$601,"Q19")-COUNTIFS('Theo dõi'!$A$2:$A$601,$A19,'Theo dõi'!$D$2:$D$601,"Perplexity",'Theo dõi'!$F$2:$F$601,"Có",'Theo dõi'!$B$2:$B$601,"Q20"))/(COUNTIFS('Theo dõi'!$A$2:$A$601,$A19,'Theo dõi'!$D$2:$D$601,"Perplexity")-COUNTIFS('Theo dõi'!$A$2:$A$601,$A19,'Theo dõi'!$D$2:$D$601,"Perplexity",'Theo dõi'!$B$2:$B$601,"Q18")-COUNTIFS('Theo dõi'!$A$2:$A$601,$A19,'Theo dõi'!$D$2:$D$601,"Perplexity",'Theo dõi'!$B$2:$B$601,"Q19")-COUNTIFS('Theo dõi'!$A$2:$A$601,$A19,'Theo dõi'!$D$2:$D$601,"Perplexity",'Theo dõi'!$B$2:$B$601,"Q20")))</f>
        <v/>
      </c>
      <c r="E19" s="16" t="str">
        <f aca="false">IF((COUNTIFS('Theo dõi'!$A$2:$A$601,$A19,'Theo dõi'!$D$2:$D$601,"Gemini")-COUNTIFS('Theo dõi'!$A$2:$A$601,$A19,'Theo dõi'!$D$2:$D$601,"Gemini",'Theo dõi'!$B$2:$B$601,"Q18")-COUNTIFS('Theo dõi'!$A$2:$A$601,$A19,'Theo dõi'!$D$2:$D$601,"Gemini",'Theo dõi'!$B$2:$B$601,"Q19")-COUNTIFS('Theo dõi'!$A$2:$A$601,$A19,'Theo dõi'!$D$2:$D$601,"Gemini",'Theo dõi'!$B$2:$B$601,"Q20"))=0,"",(COUNTIFS('Theo dõi'!$A$2:$A$601,$A19,'Theo dõi'!$D$2:$D$601,"Gemini",'Theo dõi'!$F$2:$F$601,"Có")-COUNTIFS('Theo dõi'!$A$2:$A$601,$A19,'Theo dõi'!$D$2:$D$601,"Gemini",'Theo dõi'!$F$2:$F$601,"Có",'Theo dõi'!$B$2:$B$601,"Q18")-COUNTIFS('Theo dõi'!$A$2:$A$601,$A19,'Theo dõi'!$D$2:$D$601,"Gemini",'Theo dõi'!$F$2:$F$601,"Có",'Theo dõi'!$B$2:$B$601,"Q19")-COUNTIFS('Theo dõi'!$A$2:$A$601,$A19,'Theo dõi'!$D$2:$D$601,"Gemini",'Theo dõi'!$F$2:$F$601,"Có",'Theo dõi'!$B$2:$B$601,"Q20"))/(COUNTIFS('Theo dõi'!$A$2:$A$601,$A19,'Theo dõi'!$D$2:$D$601,"Gemini")-COUNTIFS('Theo dõi'!$A$2:$A$601,$A19,'Theo dõi'!$D$2:$D$601,"Gemini",'Theo dõi'!$B$2:$B$601,"Q18")-COUNTIFS('Theo dõi'!$A$2:$A$601,$A19,'Theo dõi'!$D$2:$D$601,"Gemini",'Theo dõi'!$B$2:$B$601,"Q19")-COUNTIFS('Theo dõi'!$A$2:$A$601,$A19,'Theo dõi'!$D$2:$D$601,"Gemini",'Theo dõi'!$B$2:$B$601,"Q20")))</f>
        <v/>
      </c>
      <c r="F19" s="16" t="str">
        <f aca="false">IF((COUNTIFS('Theo dõi'!$A$2:$A$601,$A19,'Theo dõi'!$D$2:$D$601,"Google AI Overview")-COUNTIFS('Theo dõi'!$A$2:$A$601,$A19,'Theo dõi'!$D$2:$D$601,"Google AI Overview",'Theo dõi'!$B$2:$B$601,"Q18")-COUNTIFS('Theo dõi'!$A$2:$A$601,$A19,'Theo dõi'!$D$2:$D$601,"Google AI Overview",'Theo dõi'!$B$2:$B$601,"Q19")-COUNTIFS('Theo dõi'!$A$2:$A$601,$A19,'Theo dõi'!$D$2:$D$601,"Google AI Overview",'Theo dõi'!$B$2:$B$601,"Q20"))=0,"",(COUNTIFS('Theo dõi'!$A$2:$A$601,$A19,'Theo dõi'!$D$2:$D$601,"Google AI Overview",'Theo dõi'!$F$2:$F$601,"Có")-COUNTIFS('Theo dõi'!$A$2:$A$601,$A19,'Theo dõi'!$D$2:$D$601,"Google AI Overview",'Theo dõi'!$F$2:$F$601,"Có",'Theo dõi'!$B$2:$B$601,"Q18")-COUNTIFS('Theo dõi'!$A$2:$A$601,$A19,'Theo dõi'!$D$2:$D$601,"Google AI Overview",'Theo dõi'!$F$2:$F$601,"Có",'Theo dõi'!$B$2:$B$601,"Q19")-COUNTIFS('Theo dõi'!$A$2:$A$601,$A19,'Theo dõi'!$D$2:$D$601,"Google AI Overview",'Theo dõi'!$F$2:$F$601,"Có",'Theo dõi'!$B$2:$B$601,"Q20"))/(COUNTIFS('Theo dõi'!$A$2:$A$601,$A19,'Theo dõi'!$D$2:$D$601,"Google AI Overview")-COUNTIFS('Theo dõi'!$A$2:$A$601,$A19,'Theo dõi'!$D$2:$D$601,"Google AI Overview",'Theo dõi'!$B$2:$B$601,"Q18")-COUNTIFS('Theo dõi'!$A$2:$A$601,$A19,'Theo dõi'!$D$2:$D$601,"Google AI Overview",'Theo dõi'!$B$2:$B$601,"Q19")-COUNTIFS('Theo dõi'!$A$2:$A$601,$A19,'Theo dõi'!$D$2:$D$601,"Google AI Overview",'Theo dõi'!$B$2:$B$601,"Q20")))</f>
        <v/>
      </c>
      <c r="G19" s="16" t="str">
        <f aca="false">IF((COUNTIFS('Theo dõi'!$A$2:$A$601,$A19,'Theo dõi'!$D$2:$D$601,"Copilot")-COUNTIFS('Theo dõi'!$A$2:$A$601,$A19,'Theo dõi'!$D$2:$D$601,"Copilot",'Theo dõi'!$B$2:$B$601,"Q18")-COUNTIFS('Theo dõi'!$A$2:$A$601,$A19,'Theo dõi'!$D$2:$D$601,"Copilot",'Theo dõi'!$B$2:$B$601,"Q19")-COUNTIFS('Theo dõi'!$A$2:$A$601,$A19,'Theo dõi'!$D$2:$D$601,"Copilot",'Theo dõi'!$B$2:$B$601,"Q20"))=0,"",(COUNTIFS('Theo dõi'!$A$2:$A$601,$A19,'Theo dõi'!$D$2:$D$601,"Copilot",'Theo dõi'!$F$2:$F$601,"Có")-COUNTIFS('Theo dõi'!$A$2:$A$601,$A19,'Theo dõi'!$D$2:$D$601,"Copilot",'Theo dõi'!$F$2:$F$601,"Có",'Theo dõi'!$B$2:$B$601,"Q18")-COUNTIFS('Theo dõi'!$A$2:$A$601,$A19,'Theo dõi'!$D$2:$D$601,"Copilot",'Theo dõi'!$F$2:$F$601,"Có",'Theo dõi'!$B$2:$B$601,"Q19")-COUNTIFS('Theo dõi'!$A$2:$A$601,$A19,'Theo dõi'!$D$2:$D$601,"Copilot",'Theo dõi'!$F$2:$F$601,"Có",'Theo dõi'!$B$2:$B$601,"Q20"))/(COUNTIFS('Theo dõi'!$A$2:$A$601,$A19,'Theo dõi'!$D$2:$D$601,"Copilot")-COUNTIFS('Theo dõi'!$A$2:$A$601,$A19,'Theo dõi'!$D$2:$D$601,"Copilot",'Theo dõi'!$B$2:$B$601,"Q18")-COUNTIFS('Theo dõi'!$A$2:$A$601,$A19,'Theo dõi'!$D$2:$D$601,"Copilot",'Theo dõi'!$B$2:$B$601,"Q19")-COUNTIFS('Theo dõi'!$A$2:$A$601,$A19,'Theo dõi'!$D$2:$D$601,"Copilot",'Theo dõi'!$B$2:$B$601,"Q20")))</f>
        <v/>
      </c>
      <c r="H19" s="17" t="str">
        <f aca="false">IF((COUNTIFS('Theo dõi'!$A$2:$A$601,$A19,'Theo dõi'!$D$2:$D$601,"&lt;&gt;")-COUNTIFS('Theo dõi'!$A$2:$A$601,$A19,'Theo dõi'!$D$2:$D$601,"&lt;&gt;",'Theo dõi'!$B$2:$B$601,"Q18")-COUNTIFS('Theo dõi'!$A$2:$A$601,$A19,'Theo dõi'!$D$2:$D$601,"&lt;&gt;",'Theo dõi'!$B$2:$B$601,"Q19")-COUNTIFS('Theo dõi'!$A$2:$A$601,$A19,'Theo dõi'!$D$2:$D$601,"&lt;&gt;",'Theo dõi'!$B$2:$B$601,"Q20"))=0,"",(COUNTIFS('Theo dõi'!$A$2:$A$601,$A19,'Theo dõi'!$D$2:$D$601,"&lt;&gt;",'Theo dõi'!$F$2:$F$601,"Có")-COUNTIFS('Theo dõi'!$A$2:$A$601,$A19,'Theo dõi'!$D$2:$D$601,"&lt;&gt;",'Theo dõi'!$F$2:$F$601,"Có",'Theo dõi'!$B$2:$B$601,"Q18")-COUNTIFS('Theo dõi'!$A$2:$A$601,$A19,'Theo dõi'!$D$2:$D$601,"&lt;&gt;",'Theo dõi'!$F$2:$F$601,"Có",'Theo dõi'!$B$2:$B$601,"Q19")-COUNTIFS('Theo dõi'!$A$2:$A$601,$A19,'Theo dõi'!$D$2:$D$601,"&lt;&gt;",'Theo dõi'!$F$2:$F$601,"Có",'Theo dõi'!$B$2:$B$601,"Q20"))/(COUNTIFS('Theo dõi'!$A$2:$A$601,$A19,'Theo dõi'!$D$2:$D$601,"&lt;&gt;")-COUNTIFS('Theo dõi'!$A$2:$A$601,$A19,'Theo dõi'!$D$2:$D$601,"&lt;&gt;",'Theo dõi'!$B$2:$B$601,"Q18")-COUNTIFS('Theo dõi'!$A$2:$A$601,$A19,'Theo dõi'!$D$2:$D$601,"&lt;&gt;",'Theo dõi'!$B$2:$B$601,"Q19")-COUNTIFS('Theo dõi'!$A$2:$A$601,$A19,'Theo dõi'!$D$2:$D$601,"&lt;&gt;",'Theo dõi'!$B$2:$B$601,"Q20")))</f>
        <v/>
      </c>
    </row>
    <row r="20" customFormat="false" ht="15" hidden="false" customHeight="false" outlineLevel="0" collapsed="false">
      <c r="A20" s="14" t="s">
        <v>141</v>
      </c>
      <c r="B20" s="15" t="n">
        <f aca="false">COUNTIFS('Theo dõi'!$A$2:$A$601,$A20,'Theo dõi'!$D$2:$D$601,"&lt;&gt;")-COUNTIFS('Theo dõi'!$A$2:$A$601,$A20,'Theo dõi'!$D$2:$D$601,"&lt;&gt;",'Theo dõi'!$B$2:$B$601,"Q18")-COUNTIFS('Theo dõi'!$A$2:$A$601,$A20,'Theo dõi'!$D$2:$D$601,"&lt;&gt;",'Theo dõi'!$B$2:$B$601,"Q19")-COUNTIFS('Theo dõi'!$A$2:$A$601,$A20,'Theo dõi'!$D$2:$D$601,"&lt;&gt;",'Theo dõi'!$B$2:$B$601,"Q20")</f>
        <v>0</v>
      </c>
      <c r="C20" s="16" t="str">
        <f aca="false">IF((COUNTIFS('Theo dõi'!$A$2:$A$601,$A20,'Theo dõi'!$D$2:$D$601,"ChatGPT")-COUNTIFS('Theo dõi'!$A$2:$A$601,$A20,'Theo dõi'!$D$2:$D$601,"ChatGPT",'Theo dõi'!$B$2:$B$601,"Q18")-COUNTIFS('Theo dõi'!$A$2:$A$601,$A20,'Theo dõi'!$D$2:$D$601,"ChatGPT",'Theo dõi'!$B$2:$B$601,"Q19")-COUNTIFS('Theo dõi'!$A$2:$A$601,$A20,'Theo dõi'!$D$2:$D$601,"ChatGPT",'Theo dõi'!$B$2:$B$601,"Q20"))=0,"",(COUNTIFS('Theo dõi'!$A$2:$A$601,$A20,'Theo dõi'!$D$2:$D$601,"ChatGPT",'Theo dõi'!$F$2:$F$601,"Có")-COUNTIFS('Theo dõi'!$A$2:$A$601,$A20,'Theo dõi'!$D$2:$D$601,"ChatGPT",'Theo dõi'!$F$2:$F$601,"Có",'Theo dõi'!$B$2:$B$601,"Q18")-COUNTIFS('Theo dõi'!$A$2:$A$601,$A20,'Theo dõi'!$D$2:$D$601,"ChatGPT",'Theo dõi'!$F$2:$F$601,"Có",'Theo dõi'!$B$2:$B$601,"Q19")-COUNTIFS('Theo dõi'!$A$2:$A$601,$A20,'Theo dõi'!$D$2:$D$601,"ChatGPT",'Theo dõi'!$F$2:$F$601,"Có",'Theo dõi'!$B$2:$B$601,"Q20"))/(COUNTIFS('Theo dõi'!$A$2:$A$601,$A20,'Theo dõi'!$D$2:$D$601,"ChatGPT")-COUNTIFS('Theo dõi'!$A$2:$A$601,$A20,'Theo dõi'!$D$2:$D$601,"ChatGPT",'Theo dõi'!$B$2:$B$601,"Q18")-COUNTIFS('Theo dõi'!$A$2:$A$601,$A20,'Theo dõi'!$D$2:$D$601,"ChatGPT",'Theo dõi'!$B$2:$B$601,"Q19")-COUNTIFS('Theo dõi'!$A$2:$A$601,$A20,'Theo dõi'!$D$2:$D$601,"ChatGPT",'Theo dõi'!$B$2:$B$601,"Q20")))</f>
        <v/>
      </c>
      <c r="D20" s="16" t="str">
        <f aca="false">IF((COUNTIFS('Theo dõi'!$A$2:$A$601,$A20,'Theo dõi'!$D$2:$D$601,"Perplexity")-COUNTIFS('Theo dõi'!$A$2:$A$601,$A20,'Theo dõi'!$D$2:$D$601,"Perplexity",'Theo dõi'!$B$2:$B$601,"Q18")-COUNTIFS('Theo dõi'!$A$2:$A$601,$A20,'Theo dõi'!$D$2:$D$601,"Perplexity",'Theo dõi'!$B$2:$B$601,"Q19")-COUNTIFS('Theo dõi'!$A$2:$A$601,$A20,'Theo dõi'!$D$2:$D$601,"Perplexity",'Theo dõi'!$B$2:$B$601,"Q20"))=0,"",(COUNTIFS('Theo dõi'!$A$2:$A$601,$A20,'Theo dõi'!$D$2:$D$601,"Perplexity",'Theo dõi'!$F$2:$F$601,"Có")-COUNTIFS('Theo dõi'!$A$2:$A$601,$A20,'Theo dõi'!$D$2:$D$601,"Perplexity",'Theo dõi'!$F$2:$F$601,"Có",'Theo dõi'!$B$2:$B$601,"Q18")-COUNTIFS('Theo dõi'!$A$2:$A$601,$A20,'Theo dõi'!$D$2:$D$601,"Perplexity",'Theo dõi'!$F$2:$F$601,"Có",'Theo dõi'!$B$2:$B$601,"Q19")-COUNTIFS('Theo dõi'!$A$2:$A$601,$A20,'Theo dõi'!$D$2:$D$601,"Perplexity",'Theo dõi'!$F$2:$F$601,"Có",'Theo dõi'!$B$2:$B$601,"Q20"))/(COUNTIFS('Theo dõi'!$A$2:$A$601,$A20,'Theo dõi'!$D$2:$D$601,"Perplexity")-COUNTIFS('Theo dõi'!$A$2:$A$601,$A20,'Theo dõi'!$D$2:$D$601,"Perplexity",'Theo dõi'!$B$2:$B$601,"Q18")-COUNTIFS('Theo dõi'!$A$2:$A$601,$A20,'Theo dõi'!$D$2:$D$601,"Perplexity",'Theo dõi'!$B$2:$B$601,"Q19")-COUNTIFS('Theo dõi'!$A$2:$A$601,$A20,'Theo dõi'!$D$2:$D$601,"Perplexity",'Theo dõi'!$B$2:$B$601,"Q20")))</f>
        <v/>
      </c>
      <c r="E20" s="16" t="str">
        <f aca="false">IF((COUNTIFS('Theo dõi'!$A$2:$A$601,$A20,'Theo dõi'!$D$2:$D$601,"Gemini")-COUNTIFS('Theo dõi'!$A$2:$A$601,$A20,'Theo dõi'!$D$2:$D$601,"Gemini",'Theo dõi'!$B$2:$B$601,"Q18")-COUNTIFS('Theo dõi'!$A$2:$A$601,$A20,'Theo dõi'!$D$2:$D$601,"Gemini",'Theo dõi'!$B$2:$B$601,"Q19")-COUNTIFS('Theo dõi'!$A$2:$A$601,$A20,'Theo dõi'!$D$2:$D$601,"Gemini",'Theo dõi'!$B$2:$B$601,"Q20"))=0,"",(COUNTIFS('Theo dõi'!$A$2:$A$601,$A20,'Theo dõi'!$D$2:$D$601,"Gemini",'Theo dõi'!$F$2:$F$601,"Có")-COUNTIFS('Theo dõi'!$A$2:$A$601,$A20,'Theo dõi'!$D$2:$D$601,"Gemini",'Theo dõi'!$F$2:$F$601,"Có",'Theo dõi'!$B$2:$B$601,"Q18")-COUNTIFS('Theo dõi'!$A$2:$A$601,$A20,'Theo dõi'!$D$2:$D$601,"Gemini",'Theo dõi'!$F$2:$F$601,"Có",'Theo dõi'!$B$2:$B$601,"Q19")-COUNTIFS('Theo dõi'!$A$2:$A$601,$A20,'Theo dõi'!$D$2:$D$601,"Gemini",'Theo dõi'!$F$2:$F$601,"Có",'Theo dõi'!$B$2:$B$601,"Q20"))/(COUNTIFS('Theo dõi'!$A$2:$A$601,$A20,'Theo dõi'!$D$2:$D$601,"Gemini")-COUNTIFS('Theo dõi'!$A$2:$A$601,$A20,'Theo dõi'!$D$2:$D$601,"Gemini",'Theo dõi'!$B$2:$B$601,"Q18")-COUNTIFS('Theo dõi'!$A$2:$A$601,$A20,'Theo dõi'!$D$2:$D$601,"Gemini",'Theo dõi'!$B$2:$B$601,"Q19")-COUNTIFS('Theo dõi'!$A$2:$A$601,$A20,'Theo dõi'!$D$2:$D$601,"Gemini",'Theo dõi'!$B$2:$B$601,"Q20")))</f>
        <v/>
      </c>
      <c r="F20" s="16" t="str">
        <f aca="false">IF((COUNTIFS('Theo dõi'!$A$2:$A$601,$A20,'Theo dõi'!$D$2:$D$601,"Google AI Overview")-COUNTIFS('Theo dõi'!$A$2:$A$601,$A20,'Theo dõi'!$D$2:$D$601,"Google AI Overview",'Theo dõi'!$B$2:$B$601,"Q18")-COUNTIFS('Theo dõi'!$A$2:$A$601,$A20,'Theo dõi'!$D$2:$D$601,"Google AI Overview",'Theo dõi'!$B$2:$B$601,"Q19")-COUNTIFS('Theo dõi'!$A$2:$A$601,$A20,'Theo dõi'!$D$2:$D$601,"Google AI Overview",'Theo dõi'!$B$2:$B$601,"Q20"))=0,"",(COUNTIFS('Theo dõi'!$A$2:$A$601,$A20,'Theo dõi'!$D$2:$D$601,"Google AI Overview",'Theo dõi'!$F$2:$F$601,"Có")-COUNTIFS('Theo dõi'!$A$2:$A$601,$A20,'Theo dõi'!$D$2:$D$601,"Google AI Overview",'Theo dõi'!$F$2:$F$601,"Có",'Theo dõi'!$B$2:$B$601,"Q18")-COUNTIFS('Theo dõi'!$A$2:$A$601,$A20,'Theo dõi'!$D$2:$D$601,"Google AI Overview",'Theo dõi'!$F$2:$F$601,"Có",'Theo dõi'!$B$2:$B$601,"Q19")-COUNTIFS('Theo dõi'!$A$2:$A$601,$A20,'Theo dõi'!$D$2:$D$601,"Google AI Overview",'Theo dõi'!$F$2:$F$601,"Có",'Theo dõi'!$B$2:$B$601,"Q20"))/(COUNTIFS('Theo dõi'!$A$2:$A$601,$A20,'Theo dõi'!$D$2:$D$601,"Google AI Overview")-COUNTIFS('Theo dõi'!$A$2:$A$601,$A20,'Theo dõi'!$D$2:$D$601,"Google AI Overview",'Theo dõi'!$B$2:$B$601,"Q18")-COUNTIFS('Theo dõi'!$A$2:$A$601,$A20,'Theo dõi'!$D$2:$D$601,"Google AI Overview",'Theo dõi'!$B$2:$B$601,"Q19")-COUNTIFS('Theo dõi'!$A$2:$A$601,$A20,'Theo dõi'!$D$2:$D$601,"Google AI Overview",'Theo dõi'!$B$2:$B$601,"Q20")))</f>
        <v/>
      </c>
      <c r="G20" s="16" t="str">
        <f aca="false">IF((COUNTIFS('Theo dõi'!$A$2:$A$601,$A20,'Theo dõi'!$D$2:$D$601,"Copilot")-COUNTIFS('Theo dõi'!$A$2:$A$601,$A20,'Theo dõi'!$D$2:$D$601,"Copilot",'Theo dõi'!$B$2:$B$601,"Q18")-COUNTIFS('Theo dõi'!$A$2:$A$601,$A20,'Theo dõi'!$D$2:$D$601,"Copilot",'Theo dõi'!$B$2:$B$601,"Q19")-COUNTIFS('Theo dõi'!$A$2:$A$601,$A20,'Theo dõi'!$D$2:$D$601,"Copilot",'Theo dõi'!$B$2:$B$601,"Q20"))=0,"",(COUNTIFS('Theo dõi'!$A$2:$A$601,$A20,'Theo dõi'!$D$2:$D$601,"Copilot",'Theo dõi'!$F$2:$F$601,"Có")-COUNTIFS('Theo dõi'!$A$2:$A$601,$A20,'Theo dõi'!$D$2:$D$601,"Copilot",'Theo dõi'!$F$2:$F$601,"Có",'Theo dõi'!$B$2:$B$601,"Q18")-COUNTIFS('Theo dõi'!$A$2:$A$601,$A20,'Theo dõi'!$D$2:$D$601,"Copilot",'Theo dõi'!$F$2:$F$601,"Có",'Theo dõi'!$B$2:$B$601,"Q19")-COUNTIFS('Theo dõi'!$A$2:$A$601,$A20,'Theo dõi'!$D$2:$D$601,"Copilot",'Theo dõi'!$F$2:$F$601,"Có",'Theo dõi'!$B$2:$B$601,"Q20"))/(COUNTIFS('Theo dõi'!$A$2:$A$601,$A20,'Theo dõi'!$D$2:$D$601,"Copilot")-COUNTIFS('Theo dõi'!$A$2:$A$601,$A20,'Theo dõi'!$D$2:$D$601,"Copilot",'Theo dõi'!$B$2:$B$601,"Q18")-COUNTIFS('Theo dõi'!$A$2:$A$601,$A20,'Theo dõi'!$D$2:$D$601,"Copilot",'Theo dõi'!$B$2:$B$601,"Q19")-COUNTIFS('Theo dõi'!$A$2:$A$601,$A20,'Theo dõi'!$D$2:$D$601,"Copilot",'Theo dõi'!$B$2:$B$601,"Q20")))</f>
        <v/>
      </c>
      <c r="H20" s="17" t="str">
        <f aca="false">IF((COUNTIFS('Theo dõi'!$A$2:$A$601,$A20,'Theo dõi'!$D$2:$D$601,"&lt;&gt;")-COUNTIFS('Theo dõi'!$A$2:$A$601,$A20,'Theo dõi'!$D$2:$D$601,"&lt;&gt;",'Theo dõi'!$B$2:$B$601,"Q18")-COUNTIFS('Theo dõi'!$A$2:$A$601,$A20,'Theo dõi'!$D$2:$D$601,"&lt;&gt;",'Theo dõi'!$B$2:$B$601,"Q19")-COUNTIFS('Theo dõi'!$A$2:$A$601,$A20,'Theo dõi'!$D$2:$D$601,"&lt;&gt;",'Theo dõi'!$B$2:$B$601,"Q20"))=0,"",(COUNTIFS('Theo dõi'!$A$2:$A$601,$A20,'Theo dõi'!$D$2:$D$601,"&lt;&gt;",'Theo dõi'!$F$2:$F$601,"Có")-COUNTIFS('Theo dõi'!$A$2:$A$601,$A20,'Theo dõi'!$D$2:$D$601,"&lt;&gt;",'Theo dõi'!$F$2:$F$601,"Có",'Theo dõi'!$B$2:$B$601,"Q18")-COUNTIFS('Theo dõi'!$A$2:$A$601,$A20,'Theo dõi'!$D$2:$D$601,"&lt;&gt;",'Theo dõi'!$F$2:$F$601,"Có",'Theo dõi'!$B$2:$B$601,"Q19")-COUNTIFS('Theo dõi'!$A$2:$A$601,$A20,'Theo dõi'!$D$2:$D$601,"&lt;&gt;",'Theo dõi'!$F$2:$F$601,"Có",'Theo dõi'!$B$2:$B$601,"Q20"))/(COUNTIFS('Theo dõi'!$A$2:$A$601,$A20,'Theo dõi'!$D$2:$D$601,"&lt;&gt;")-COUNTIFS('Theo dõi'!$A$2:$A$601,$A20,'Theo dõi'!$D$2:$D$601,"&lt;&gt;",'Theo dõi'!$B$2:$B$601,"Q18")-COUNTIFS('Theo dõi'!$A$2:$A$601,$A20,'Theo dõi'!$D$2:$D$601,"&lt;&gt;",'Theo dõi'!$B$2:$B$601,"Q19")-COUNTIFS('Theo dõi'!$A$2:$A$601,$A20,'Theo dõi'!$D$2:$D$601,"&lt;&gt;",'Theo dõi'!$B$2:$B$601,"Q20")))</f>
        <v/>
      </c>
    </row>
    <row r="22" customFormat="false" ht="15" hidden="false" customHeight="false" outlineLevel="0" collapsed="false">
      <c r="A22" s="12" t="s">
        <v>142</v>
      </c>
    </row>
    <row r="23" customFormat="false" ht="26.85" hidden="false" customHeight="false" outlineLevel="0" collapsed="false">
      <c r="A23" s="13" t="s">
        <v>19</v>
      </c>
      <c r="B23" s="13" t="s">
        <v>122</v>
      </c>
      <c r="C23" s="13" t="s">
        <v>123</v>
      </c>
      <c r="D23" s="13" t="s">
        <v>35</v>
      </c>
      <c r="E23" s="13" t="s">
        <v>124</v>
      </c>
      <c r="F23" s="13" t="s">
        <v>125</v>
      </c>
      <c r="G23" s="13" t="s">
        <v>126</v>
      </c>
      <c r="H23" s="13" t="s">
        <v>127</v>
      </c>
    </row>
    <row r="24" customFormat="false" ht="15" hidden="false" customHeight="false" outlineLevel="0" collapsed="false">
      <c r="A24" s="14" t="s">
        <v>128</v>
      </c>
      <c r="B24" s="15" t="n">
        <f aca="false">COUNTIFS('Theo dõi'!$A$2:$A$601,$A24,'Theo dõi'!$D$2:$D$601,"&lt;&gt;")-COUNTIFS('Theo dõi'!$A$2:$A$601,$A24,'Theo dõi'!$D$2:$D$601,"&lt;&gt;",'Theo dõi'!$B$2:$B$601,"Q18")-COUNTIFS('Theo dõi'!$A$2:$A$601,$A24,'Theo dõi'!$D$2:$D$601,"&lt;&gt;",'Theo dõi'!$B$2:$B$601,"Q19")-COUNTIFS('Theo dõi'!$A$2:$A$601,$A24,'Theo dõi'!$D$2:$D$601,"&lt;&gt;",'Theo dõi'!$B$2:$B$601,"Q20")</f>
        <v>0</v>
      </c>
      <c r="C24" s="16" t="str">
        <f aca="false">IF((COUNTIFS('Theo dõi'!$A$2:$A$601,$A24,'Theo dõi'!$D$2:$D$601,"ChatGPT")-COUNTIFS('Theo dõi'!$A$2:$A$601,$A24,'Theo dõi'!$D$2:$D$601,"ChatGPT",'Theo dõi'!$B$2:$B$601,"Q18")-COUNTIFS('Theo dõi'!$A$2:$A$601,$A24,'Theo dõi'!$D$2:$D$601,"ChatGPT",'Theo dõi'!$B$2:$B$601,"Q19")-COUNTIFS('Theo dõi'!$A$2:$A$601,$A24,'Theo dõi'!$D$2:$D$601,"ChatGPT",'Theo dõi'!$B$2:$B$601,"Q20"))=0,"",(COUNTIFS('Theo dõi'!$A$2:$A$601,$A24,'Theo dõi'!$D$2:$D$601,"ChatGPT",'Theo dõi'!$G$2:$G$601,"Có")-COUNTIFS('Theo dõi'!$A$2:$A$601,$A24,'Theo dõi'!$D$2:$D$601,"ChatGPT",'Theo dõi'!$G$2:$G$601,"Có",'Theo dõi'!$B$2:$B$601,"Q18")-COUNTIFS('Theo dõi'!$A$2:$A$601,$A24,'Theo dõi'!$D$2:$D$601,"ChatGPT",'Theo dõi'!$G$2:$G$601,"Có",'Theo dõi'!$B$2:$B$601,"Q19")-COUNTIFS('Theo dõi'!$A$2:$A$601,$A24,'Theo dõi'!$D$2:$D$601,"ChatGPT",'Theo dõi'!$G$2:$G$601,"Có",'Theo dõi'!$B$2:$B$601,"Q20"))/(COUNTIFS('Theo dõi'!$A$2:$A$601,$A24,'Theo dõi'!$D$2:$D$601,"ChatGPT")-COUNTIFS('Theo dõi'!$A$2:$A$601,$A24,'Theo dõi'!$D$2:$D$601,"ChatGPT",'Theo dõi'!$B$2:$B$601,"Q18")-COUNTIFS('Theo dõi'!$A$2:$A$601,$A24,'Theo dõi'!$D$2:$D$601,"ChatGPT",'Theo dõi'!$B$2:$B$601,"Q19")-COUNTIFS('Theo dõi'!$A$2:$A$601,$A24,'Theo dõi'!$D$2:$D$601,"ChatGPT",'Theo dõi'!$B$2:$B$601,"Q20")))</f>
        <v/>
      </c>
      <c r="D24" s="16" t="str">
        <f aca="false">IF((COUNTIFS('Theo dõi'!$A$2:$A$601,$A24,'Theo dõi'!$D$2:$D$601,"Perplexity")-COUNTIFS('Theo dõi'!$A$2:$A$601,$A24,'Theo dõi'!$D$2:$D$601,"Perplexity",'Theo dõi'!$B$2:$B$601,"Q18")-COUNTIFS('Theo dõi'!$A$2:$A$601,$A24,'Theo dõi'!$D$2:$D$601,"Perplexity",'Theo dõi'!$B$2:$B$601,"Q19")-COUNTIFS('Theo dõi'!$A$2:$A$601,$A24,'Theo dõi'!$D$2:$D$601,"Perplexity",'Theo dõi'!$B$2:$B$601,"Q20"))=0,"",(COUNTIFS('Theo dõi'!$A$2:$A$601,$A24,'Theo dõi'!$D$2:$D$601,"Perplexity",'Theo dõi'!$G$2:$G$601,"Có")-COUNTIFS('Theo dõi'!$A$2:$A$601,$A24,'Theo dõi'!$D$2:$D$601,"Perplexity",'Theo dõi'!$G$2:$G$601,"Có",'Theo dõi'!$B$2:$B$601,"Q18")-COUNTIFS('Theo dõi'!$A$2:$A$601,$A24,'Theo dõi'!$D$2:$D$601,"Perplexity",'Theo dõi'!$G$2:$G$601,"Có",'Theo dõi'!$B$2:$B$601,"Q19")-COUNTIFS('Theo dõi'!$A$2:$A$601,$A24,'Theo dõi'!$D$2:$D$601,"Perplexity",'Theo dõi'!$G$2:$G$601,"Có",'Theo dõi'!$B$2:$B$601,"Q20"))/(COUNTIFS('Theo dõi'!$A$2:$A$601,$A24,'Theo dõi'!$D$2:$D$601,"Perplexity")-COUNTIFS('Theo dõi'!$A$2:$A$601,$A24,'Theo dõi'!$D$2:$D$601,"Perplexity",'Theo dõi'!$B$2:$B$601,"Q18")-COUNTIFS('Theo dõi'!$A$2:$A$601,$A24,'Theo dõi'!$D$2:$D$601,"Perplexity",'Theo dõi'!$B$2:$B$601,"Q19")-COUNTIFS('Theo dõi'!$A$2:$A$601,$A24,'Theo dõi'!$D$2:$D$601,"Perplexity",'Theo dõi'!$B$2:$B$601,"Q20")))</f>
        <v/>
      </c>
      <c r="E24" s="16" t="str">
        <f aca="false">IF((COUNTIFS('Theo dõi'!$A$2:$A$601,$A24,'Theo dõi'!$D$2:$D$601,"Gemini")-COUNTIFS('Theo dõi'!$A$2:$A$601,$A24,'Theo dõi'!$D$2:$D$601,"Gemini",'Theo dõi'!$B$2:$B$601,"Q18")-COUNTIFS('Theo dõi'!$A$2:$A$601,$A24,'Theo dõi'!$D$2:$D$601,"Gemini",'Theo dõi'!$B$2:$B$601,"Q19")-COUNTIFS('Theo dõi'!$A$2:$A$601,$A24,'Theo dõi'!$D$2:$D$601,"Gemini",'Theo dõi'!$B$2:$B$601,"Q20"))=0,"",(COUNTIFS('Theo dõi'!$A$2:$A$601,$A24,'Theo dõi'!$D$2:$D$601,"Gemini",'Theo dõi'!$G$2:$G$601,"Có")-COUNTIFS('Theo dõi'!$A$2:$A$601,$A24,'Theo dõi'!$D$2:$D$601,"Gemini",'Theo dõi'!$G$2:$G$601,"Có",'Theo dõi'!$B$2:$B$601,"Q18")-COUNTIFS('Theo dõi'!$A$2:$A$601,$A24,'Theo dõi'!$D$2:$D$601,"Gemini",'Theo dõi'!$G$2:$G$601,"Có",'Theo dõi'!$B$2:$B$601,"Q19")-COUNTIFS('Theo dõi'!$A$2:$A$601,$A24,'Theo dõi'!$D$2:$D$601,"Gemini",'Theo dõi'!$G$2:$G$601,"Có",'Theo dõi'!$B$2:$B$601,"Q20"))/(COUNTIFS('Theo dõi'!$A$2:$A$601,$A24,'Theo dõi'!$D$2:$D$601,"Gemini")-COUNTIFS('Theo dõi'!$A$2:$A$601,$A24,'Theo dõi'!$D$2:$D$601,"Gemini",'Theo dõi'!$B$2:$B$601,"Q18")-COUNTIFS('Theo dõi'!$A$2:$A$601,$A24,'Theo dõi'!$D$2:$D$601,"Gemini",'Theo dõi'!$B$2:$B$601,"Q19")-COUNTIFS('Theo dõi'!$A$2:$A$601,$A24,'Theo dõi'!$D$2:$D$601,"Gemini",'Theo dõi'!$B$2:$B$601,"Q20")))</f>
        <v/>
      </c>
      <c r="F24" s="16" t="str">
        <f aca="false">IF((COUNTIFS('Theo dõi'!$A$2:$A$601,$A24,'Theo dõi'!$D$2:$D$601,"Google AI Overview")-COUNTIFS('Theo dõi'!$A$2:$A$601,$A24,'Theo dõi'!$D$2:$D$601,"Google AI Overview",'Theo dõi'!$B$2:$B$601,"Q18")-COUNTIFS('Theo dõi'!$A$2:$A$601,$A24,'Theo dõi'!$D$2:$D$601,"Google AI Overview",'Theo dõi'!$B$2:$B$601,"Q19")-COUNTIFS('Theo dõi'!$A$2:$A$601,$A24,'Theo dõi'!$D$2:$D$601,"Google AI Overview",'Theo dõi'!$B$2:$B$601,"Q20"))=0,"",(COUNTIFS('Theo dõi'!$A$2:$A$601,$A24,'Theo dõi'!$D$2:$D$601,"Google AI Overview",'Theo dõi'!$G$2:$G$601,"Có")-COUNTIFS('Theo dõi'!$A$2:$A$601,$A24,'Theo dõi'!$D$2:$D$601,"Google AI Overview",'Theo dõi'!$G$2:$G$601,"Có",'Theo dõi'!$B$2:$B$601,"Q18")-COUNTIFS('Theo dõi'!$A$2:$A$601,$A24,'Theo dõi'!$D$2:$D$601,"Google AI Overview",'Theo dõi'!$G$2:$G$601,"Có",'Theo dõi'!$B$2:$B$601,"Q19")-COUNTIFS('Theo dõi'!$A$2:$A$601,$A24,'Theo dõi'!$D$2:$D$601,"Google AI Overview",'Theo dõi'!$G$2:$G$601,"Có",'Theo dõi'!$B$2:$B$601,"Q20"))/(COUNTIFS('Theo dõi'!$A$2:$A$601,$A24,'Theo dõi'!$D$2:$D$601,"Google AI Overview")-COUNTIFS('Theo dõi'!$A$2:$A$601,$A24,'Theo dõi'!$D$2:$D$601,"Google AI Overview",'Theo dõi'!$B$2:$B$601,"Q18")-COUNTIFS('Theo dõi'!$A$2:$A$601,$A24,'Theo dõi'!$D$2:$D$601,"Google AI Overview",'Theo dõi'!$B$2:$B$601,"Q19")-COUNTIFS('Theo dõi'!$A$2:$A$601,$A24,'Theo dõi'!$D$2:$D$601,"Google AI Overview",'Theo dõi'!$B$2:$B$601,"Q20")))</f>
        <v/>
      </c>
      <c r="G24" s="16" t="str">
        <f aca="false">IF((COUNTIFS('Theo dõi'!$A$2:$A$601,$A24,'Theo dõi'!$D$2:$D$601,"Copilot")-COUNTIFS('Theo dõi'!$A$2:$A$601,$A24,'Theo dõi'!$D$2:$D$601,"Copilot",'Theo dõi'!$B$2:$B$601,"Q18")-COUNTIFS('Theo dõi'!$A$2:$A$601,$A24,'Theo dõi'!$D$2:$D$601,"Copilot",'Theo dõi'!$B$2:$B$601,"Q19")-COUNTIFS('Theo dõi'!$A$2:$A$601,$A24,'Theo dõi'!$D$2:$D$601,"Copilot",'Theo dõi'!$B$2:$B$601,"Q20"))=0,"",(COUNTIFS('Theo dõi'!$A$2:$A$601,$A24,'Theo dõi'!$D$2:$D$601,"Copilot",'Theo dõi'!$G$2:$G$601,"Có")-COUNTIFS('Theo dõi'!$A$2:$A$601,$A24,'Theo dõi'!$D$2:$D$601,"Copilot",'Theo dõi'!$G$2:$G$601,"Có",'Theo dõi'!$B$2:$B$601,"Q18")-COUNTIFS('Theo dõi'!$A$2:$A$601,$A24,'Theo dõi'!$D$2:$D$601,"Copilot",'Theo dõi'!$G$2:$G$601,"Có",'Theo dõi'!$B$2:$B$601,"Q19")-COUNTIFS('Theo dõi'!$A$2:$A$601,$A24,'Theo dõi'!$D$2:$D$601,"Copilot",'Theo dõi'!$G$2:$G$601,"Có",'Theo dõi'!$B$2:$B$601,"Q20"))/(COUNTIFS('Theo dõi'!$A$2:$A$601,$A24,'Theo dõi'!$D$2:$D$601,"Copilot")-COUNTIFS('Theo dõi'!$A$2:$A$601,$A24,'Theo dõi'!$D$2:$D$601,"Copilot",'Theo dõi'!$B$2:$B$601,"Q18")-COUNTIFS('Theo dõi'!$A$2:$A$601,$A24,'Theo dõi'!$D$2:$D$601,"Copilot",'Theo dõi'!$B$2:$B$601,"Q19")-COUNTIFS('Theo dõi'!$A$2:$A$601,$A24,'Theo dõi'!$D$2:$D$601,"Copilot",'Theo dõi'!$B$2:$B$601,"Q20")))</f>
        <v/>
      </c>
      <c r="H24" s="17" t="str">
        <f aca="false">IF((COUNTIFS('Theo dõi'!$A$2:$A$601,$A24,'Theo dõi'!$D$2:$D$601,"&lt;&gt;")-COUNTIFS('Theo dõi'!$A$2:$A$601,$A24,'Theo dõi'!$D$2:$D$601,"&lt;&gt;",'Theo dõi'!$B$2:$B$601,"Q18")-COUNTIFS('Theo dõi'!$A$2:$A$601,$A24,'Theo dõi'!$D$2:$D$601,"&lt;&gt;",'Theo dõi'!$B$2:$B$601,"Q19")-COUNTIFS('Theo dõi'!$A$2:$A$601,$A24,'Theo dõi'!$D$2:$D$601,"&lt;&gt;",'Theo dõi'!$B$2:$B$601,"Q20"))=0,"",(COUNTIFS('Theo dõi'!$A$2:$A$601,$A24,'Theo dõi'!$D$2:$D$601,"&lt;&gt;",'Theo dõi'!$G$2:$G$601,"Có")-COUNTIFS('Theo dõi'!$A$2:$A$601,$A24,'Theo dõi'!$D$2:$D$601,"&lt;&gt;",'Theo dõi'!$G$2:$G$601,"Có",'Theo dõi'!$B$2:$B$601,"Q18")-COUNTIFS('Theo dõi'!$A$2:$A$601,$A24,'Theo dõi'!$D$2:$D$601,"&lt;&gt;",'Theo dõi'!$G$2:$G$601,"Có",'Theo dõi'!$B$2:$B$601,"Q19")-COUNTIFS('Theo dõi'!$A$2:$A$601,$A24,'Theo dõi'!$D$2:$D$601,"&lt;&gt;",'Theo dõi'!$G$2:$G$601,"Có",'Theo dõi'!$B$2:$B$601,"Q20"))/(COUNTIFS('Theo dõi'!$A$2:$A$601,$A24,'Theo dõi'!$D$2:$D$601,"&lt;&gt;")-COUNTIFS('Theo dõi'!$A$2:$A$601,$A24,'Theo dõi'!$D$2:$D$601,"&lt;&gt;",'Theo dõi'!$B$2:$B$601,"Q18")-COUNTIFS('Theo dõi'!$A$2:$A$601,$A24,'Theo dõi'!$D$2:$D$601,"&lt;&gt;",'Theo dõi'!$B$2:$B$601,"Q19")-COUNTIFS('Theo dõi'!$A$2:$A$601,$A24,'Theo dõi'!$D$2:$D$601,"&lt;&gt;",'Theo dõi'!$B$2:$B$601,"Q20")))</f>
        <v/>
      </c>
    </row>
    <row r="25" customFormat="false" ht="15" hidden="false" customHeight="false" outlineLevel="0" collapsed="false">
      <c r="A25" s="14" t="s">
        <v>32</v>
      </c>
      <c r="B25" s="15" t="n">
        <f aca="false">COUNTIFS('Theo dõi'!$A$2:$A$601,$A25,'Theo dõi'!$D$2:$D$601,"&lt;&gt;")-COUNTIFS('Theo dõi'!$A$2:$A$601,$A25,'Theo dõi'!$D$2:$D$601,"&lt;&gt;",'Theo dõi'!$B$2:$B$601,"Q18")-COUNTIFS('Theo dõi'!$A$2:$A$601,$A25,'Theo dõi'!$D$2:$D$601,"&lt;&gt;",'Theo dõi'!$B$2:$B$601,"Q19")-COUNTIFS('Theo dõi'!$A$2:$A$601,$A25,'Theo dõi'!$D$2:$D$601,"&lt;&gt;",'Theo dõi'!$B$2:$B$601,"Q20")</f>
        <v>0</v>
      </c>
      <c r="C25" s="16" t="str">
        <f aca="false">IF((COUNTIFS('Theo dõi'!$A$2:$A$601,$A25,'Theo dõi'!$D$2:$D$601,"ChatGPT")-COUNTIFS('Theo dõi'!$A$2:$A$601,$A25,'Theo dõi'!$D$2:$D$601,"ChatGPT",'Theo dõi'!$B$2:$B$601,"Q18")-COUNTIFS('Theo dõi'!$A$2:$A$601,$A25,'Theo dõi'!$D$2:$D$601,"ChatGPT",'Theo dõi'!$B$2:$B$601,"Q19")-COUNTIFS('Theo dõi'!$A$2:$A$601,$A25,'Theo dõi'!$D$2:$D$601,"ChatGPT",'Theo dõi'!$B$2:$B$601,"Q20"))=0,"",(COUNTIFS('Theo dõi'!$A$2:$A$601,$A25,'Theo dõi'!$D$2:$D$601,"ChatGPT",'Theo dõi'!$G$2:$G$601,"Có")-COUNTIFS('Theo dõi'!$A$2:$A$601,$A25,'Theo dõi'!$D$2:$D$601,"ChatGPT",'Theo dõi'!$G$2:$G$601,"Có",'Theo dõi'!$B$2:$B$601,"Q18")-COUNTIFS('Theo dõi'!$A$2:$A$601,$A25,'Theo dõi'!$D$2:$D$601,"ChatGPT",'Theo dõi'!$G$2:$G$601,"Có",'Theo dõi'!$B$2:$B$601,"Q19")-COUNTIFS('Theo dõi'!$A$2:$A$601,$A25,'Theo dõi'!$D$2:$D$601,"ChatGPT",'Theo dõi'!$G$2:$G$601,"Có",'Theo dõi'!$B$2:$B$601,"Q20"))/(COUNTIFS('Theo dõi'!$A$2:$A$601,$A25,'Theo dõi'!$D$2:$D$601,"ChatGPT")-COUNTIFS('Theo dõi'!$A$2:$A$601,$A25,'Theo dõi'!$D$2:$D$601,"ChatGPT",'Theo dõi'!$B$2:$B$601,"Q18")-COUNTIFS('Theo dõi'!$A$2:$A$601,$A25,'Theo dõi'!$D$2:$D$601,"ChatGPT",'Theo dõi'!$B$2:$B$601,"Q19")-COUNTIFS('Theo dõi'!$A$2:$A$601,$A25,'Theo dõi'!$D$2:$D$601,"ChatGPT",'Theo dõi'!$B$2:$B$601,"Q20")))</f>
        <v/>
      </c>
      <c r="D25" s="16" t="str">
        <f aca="false">IF((COUNTIFS('Theo dõi'!$A$2:$A$601,$A25,'Theo dõi'!$D$2:$D$601,"Perplexity")-COUNTIFS('Theo dõi'!$A$2:$A$601,$A25,'Theo dõi'!$D$2:$D$601,"Perplexity",'Theo dõi'!$B$2:$B$601,"Q18")-COUNTIFS('Theo dõi'!$A$2:$A$601,$A25,'Theo dõi'!$D$2:$D$601,"Perplexity",'Theo dõi'!$B$2:$B$601,"Q19")-COUNTIFS('Theo dõi'!$A$2:$A$601,$A25,'Theo dõi'!$D$2:$D$601,"Perplexity",'Theo dõi'!$B$2:$B$601,"Q20"))=0,"",(COUNTIFS('Theo dõi'!$A$2:$A$601,$A25,'Theo dõi'!$D$2:$D$601,"Perplexity",'Theo dõi'!$G$2:$G$601,"Có")-COUNTIFS('Theo dõi'!$A$2:$A$601,$A25,'Theo dõi'!$D$2:$D$601,"Perplexity",'Theo dõi'!$G$2:$G$601,"Có",'Theo dõi'!$B$2:$B$601,"Q18")-COUNTIFS('Theo dõi'!$A$2:$A$601,$A25,'Theo dõi'!$D$2:$D$601,"Perplexity",'Theo dõi'!$G$2:$G$601,"Có",'Theo dõi'!$B$2:$B$601,"Q19")-COUNTIFS('Theo dõi'!$A$2:$A$601,$A25,'Theo dõi'!$D$2:$D$601,"Perplexity",'Theo dõi'!$G$2:$G$601,"Có",'Theo dõi'!$B$2:$B$601,"Q20"))/(COUNTIFS('Theo dõi'!$A$2:$A$601,$A25,'Theo dõi'!$D$2:$D$601,"Perplexity")-COUNTIFS('Theo dõi'!$A$2:$A$601,$A25,'Theo dõi'!$D$2:$D$601,"Perplexity",'Theo dõi'!$B$2:$B$601,"Q18")-COUNTIFS('Theo dõi'!$A$2:$A$601,$A25,'Theo dõi'!$D$2:$D$601,"Perplexity",'Theo dõi'!$B$2:$B$601,"Q19")-COUNTIFS('Theo dõi'!$A$2:$A$601,$A25,'Theo dõi'!$D$2:$D$601,"Perplexity",'Theo dõi'!$B$2:$B$601,"Q20")))</f>
        <v/>
      </c>
      <c r="E25" s="16" t="str">
        <f aca="false">IF((COUNTIFS('Theo dõi'!$A$2:$A$601,$A25,'Theo dõi'!$D$2:$D$601,"Gemini")-COUNTIFS('Theo dõi'!$A$2:$A$601,$A25,'Theo dõi'!$D$2:$D$601,"Gemini",'Theo dõi'!$B$2:$B$601,"Q18")-COUNTIFS('Theo dõi'!$A$2:$A$601,$A25,'Theo dõi'!$D$2:$D$601,"Gemini",'Theo dõi'!$B$2:$B$601,"Q19")-COUNTIFS('Theo dõi'!$A$2:$A$601,$A25,'Theo dõi'!$D$2:$D$601,"Gemini",'Theo dõi'!$B$2:$B$601,"Q20"))=0,"",(COUNTIFS('Theo dõi'!$A$2:$A$601,$A25,'Theo dõi'!$D$2:$D$601,"Gemini",'Theo dõi'!$G$2:$G$601,"Có")-COUNTIFS('Theo dõi'!$A$2:$A$601,$A25,'Theo dõi'!$D$2:$D$601,"Gemini",'Theo dõi'!$G$2:$G$601,"Có",'Theo dõi'!$B$2:$B$601,"Q18")-COUNTIFS('Theo dõi'!$A$2:$A$601,$A25,'Theo dõi'!$D$2:$D$601,"Gemini",'Theo dõi'!$G$2:$G$601,"Có",'Theo dõi'!$B$2:$B$601,"Q19")-COUNTIFS('Theo dõi'!$A$2:$A$601,$A25,'Theo dõi'!$D$2:$D$601,"Gemini",'Theo dõi'!$G$2:$G$601,"Có",'Theo dõi'!$B$2:$B$601,"Q20"))/(COUNTIFS('Theo dõi'!$A$2:$A$601,$A25,'Theo dõi'!$D$2:$D$601,"Gemini")-COUNTIFS('Theo dõi'!$A$2:$A$601,$A25,'Theo dõi'!$D$2:$D$601,"Gemini",'Theo dõi'!$B$2:$B$601,"Q18")-COUNTIFS('Theo dõi'!$A$2:$A$601,$A25,'Theo dõi'!$D$2:$D$601,"Gemini",'Theo dõi'!$B$2:$B$601,"Q19")-COUNTIFS('Theo dõi'!$A$2:$A$601,$A25,'Theo dõi'!$D$2:$D$601,"Gemini",'Theo dõi'!$B$2:$B$601,"Q20")))</f>
        <v/>
      </c>
      <c r="F25" s="16" t="str">
        <f aca="false">IF((COUNTIFS('Theo dõi'!$A$2:$A$601,$A25,'Theo dõi'!$D$2:$D$601,"Google AI Overview")-COUNTIFS('Theo dõi'!$A$2:$A$601,$A25,'Theo dõi'!$D$2:$D$601,"Google AI Overview",'Theo dõi'!$B$2:$B$601,"Q18")-COUNTIFS('Theo dõi'!$A$2:$A$601,$A25,'Theo dõi'!$D$2:$D$601,"Google AI Overview",'Theo dõi'!$B$2:$B$601,"Q19")-COUNTIFS('Theo dõi'!$A$2:$A$601,$A25,'Theo dõi'!$D$2:$D$601,"Google AI Overview",'Theo dõi'!$B$2:$B$601,"Q20"))=0,"",(COUNTIFS('Theo dõi'!$A$2:$A$601,$A25,'Theo dõi'!$D$2:$D$601,"Google AI Overview",'Theo dõi'!$G$2:$G$601,"Có")-COUNTIFS('Theo dõi'!$A$2:$A$601,$A25,'Theo dõi'!$D$2:$D$601,"Google AI Overview",'Theo dõi'!$G$2:$G$601,"Có",'Theo dõi'!$B$2:$B$601,"Q18")-COUNTIFS('Theo dõi'!$A$2:$A$601,$A25,'Theo dõi'!$D$2:$D$601,"Google AI Overview",'Theo dõi'!$G$2:$G$601,"Có",'Theo dõi'!$B$2:$B$601,"Q19")-COUNTIFS('Theo dõi'!$A$2:$A$601,$A25,'Theo dõi'!$D$2:$D$601,"Google AI Overview",'Theo dõi'!$G$2:$G$601,"Có",'Theo dõi'!$B$2:$B$601,"Q20"))/(COUNTIFS('Theo dõi'!$A$2:$A$601,$A25,'Theo dõi'!$D$2:$D$601,"Google AI Overview")-COUNTIFS('Theo dõi'!$A$2:$A$601,$A25,'Theo dõi'!$D$2:$D$601,"Google AI Overview",'Theo dõi'!$B$2:$B$601,"Q18")-COUNTIFS('Theo dõi'!$A$2:$A$601,$A25,'Theo dõi'!$D$2:$D$601,"Google AI Overview",'Theo dõi'!$B$2:$B$601,"Q19")-COUNTIFS('Theo dõi'!$A$2:$A$601,$A25,'Theo dõi'!$D$2:$D$601,"Google AI Overview",'Theo dõi'!$B$2:$B$601,"Q20")))</f>
        <v/>
      </c>
      <c r="G25" s="16" t="str">
        <f aca="false">IF((COUNTIFS('Theo dõi'!$A$2:$A$601,$A25,'Theo dõi'!$D$2:$D$601,"Copilot")-COUNTIFS('Theo dõi'!$A$2:$A$601,$A25,'Theo dõi'!$D$2:$D$601,"Copilot",'Theo dõi'!$B$2:$B$601,"Q18")-COUNTIFS('Theo dõi'!$A$2:$A$601,$A25,'Theo dõi'!$D$2:$D$601,"Copilot",'Theo dõi'!$B$2:$B$601,"Q19")-COUNTIFS('Theo dõi'!$A$2:$A$601,$A25,'Theo dõi'!$D$2:$D$601,"Copilot",'Theo dõi'!$B$2:$B$601,"Q20"))=0,"",(COUNTIFS('Theo dõi'!$A$2:$A$601,$A25,'Theo dõi'!$D$2:$D$601,"Copilot",'Theo dõi'!$G$2:$G$601,"Có")-COUNTIFS('Theo dõi'!$A$2:$A$601,$A25,'Theo dõi'!$D$2:$D$601,"Copilot",'Theo dõi'!$G$2:$G$601,"Có",'Theo dõi'!$B$2:$B$601,"Q18")-COUNTIFS('Theo dõi'!$A$2:$A$601,$A25,'Theo dõi'!$D$2:$D$601,"Copilot",'Theo dõi'!$G$2:$G$601,"Có",'Theo dõi'!$B$2:$B$601,"Q19")-COUNTIFS('Theo dõi'!$A$2:$A$601,$A25,'Theo dõi'!$D$2:$D$601,"Copilot",'Theo dõi'!$G$2:$G$601,"Có",'Theo dõi'!$B$2:$B$601,"Q20"))/(COUNTIFS('Theo dõi'!$A$2:$A$601,$A25,'Theo dõi'!$D$2:$D$601,"Copilot")-COUNTIFS('Theo dõi'!$A$2:$A$601,$A25,'Theo dõi'!$D$2:$D$601,"Copilot",'Theo dõi'!$B$2:$B$601,"Q18")-COUNTIFS('Theo dõi'!$A$2:$A$601,$A25,'Theo dõi'!$D$2:$D$601,"Copilot",'Theo dõi'!$B$2:$B$601,"Q19")-COUNTIFS('Theo dõi'!$A$2:$A$601,$A25,'Theo dõi'!$D$2:$D$601,"Copilot",'Theo dõi'!$B$2:$B$601,"Q20")))</f>
        <v/>
      </c>
      <c r="H25" s="17" t="str">
        <f aca="false">IF((COUNTIFS('Theo dõi'!$A$2:$A$601,$A25,'Theo dõi'!$D$2:$D$601,"&lt;&gt;")-COUNTIFS('Theo dõi'!$A$2:$A$601,$A25,'Theo dõi'!$D$2:$D$601,"&lt;&gt;",'Theo dõi'!$B$2:$B$601,"Q18")-COUNTIFS('Theo dõi'!$A$2:$A$601,$A25,'Theo dõi'!$D$2:$D$601,"&lt;&gt;",'Theo dõi'!$B$2:$B$601,"Q19")-COUNTIFS('Theo dõi'!$A$2:$A$601,$A25,'Theo dõi'!$D$2:$D$601,"&lt;&gt;",'Theo dõi'!$B$2:$B$601,"Q20"))=0,"",(COUNTIFS('Theo dõi'!$A$2:$A$601,$A25,'Theo dõi'!$D$2:$D$601,"&lt;&gt;",'Theo dõi'!$G$2:$G$601,"Có")-COUNTIFS('Theo dõi'!$A$2:$A$601,$A25,'Theo dõi'!$D$2:$D$601,"&lt;&gt;",'Theo dõi'!$G$2:$G$601,"Có",'Theo dõi'!$B$2:$B$601,"Q18")-COUNTIFS('Theo dõi'!$A$2:$A$601,$A25,'Theo dõi'!$D$2:$D$601,"&lt;&gt;",'Theo dõi'!$G$2:$G$601,"Có",'Theo dõi'!$B$2:$B$601,"Q19")-COUNTIFS('Theo dõi'!$A$2:$A$601,$A25,'Theo dõi'!$D$2:$D$601,"&lt;&gt;",'Theo dõi'!$G$2:$G$601,"Có",'Theo dõi'!$B$2:$B$601,"Q20"))/(COUNTIFS('Theo dõi'!$A$2:$A$601,$A25,'Theo dõi'!$D$2:$D$601,"&lt;&gt;")-COUNTIFS('Theo dõi'!$A$2:$A$601,$A25,'Theo dõi'!$D$2:$D$601,"&lt;&gt;",'Theo dõi'!$B$2:$B$601,"Q18")-COUNTIFS('Theo dõi'!$A$2:$A$601,$A25,'Theo dõi'!$D$2:$D$601,"&lt;&gt;",'Theo dõi'!$B$2:$B$601,"Q19")-COUNTIFS('Theo dõi'!$A$2:$A$601,$A25,'Theo dõi'!$D$2:$D$601,"&lt;&gt;",'Theo dõi'!$B$2:$B$601,"Q20")))</f>
        <v/>
      </c>
    </row>
    <row r="26" customFormat="false" ht="15" hidden="false" customHeight="false" outlineLevel="0" collapsed="false">
      <c r="A26" s="14" t="s">
        <v>129</v>
      </c>
      <c r="B26" s="15" t="n">
        <f aca="false">COUNTIFS('Theo dõi'!$A$2:$A$601,$A26,'Theo dõi'!$D$2:$D$601,"&lt;&gt;")-COUNTIFS('Theo dõi'!$A$2:$A$601,$A26,'Theo dõi'!$D$2:$D$601,"&lt;&gt;",'Theo dõi'!$B$2:$B$601,"Q18")-COUNTIFS('Theo dõi'!$A$2:$A$601,$A26,'Theo dõi'!$D$2:$D$601,"&lt;&gt;",'Theo dõi'!$B$2:$B$601,"Q19")-COUNTIFS('Theo dõi'!$A$2:$A$601,$A26,'Theo dõi'!$D$2:$D$601,"&lt;&gt;",'Theo dõi'!$B$2:$B$601,"Q20")</f>
        <v>0</v>
      </c>
      <c r="C26" s="16" t="str">
        <f aca="false">IF((COUNTIFS('Theo dõi'!$A$2:$A$601,$A26,'Theo dõi'!$D$2:$D$601,"ChatGPT")-COUNTIFS('Theo dõi'!$A$2:$A$601,$A26,'Theo dõi'!$D$2:$D$601,"ChatGPT",'Theo dõi'!$B$2:$B$601,"Q18")-COUNTIFS('Theo dõi'!$A$2:$A$601,$A26,'Theo dõi'!$D$2:$D$601,"ChatGPT",'Theo dõi'!$B$2:$B$601,"Q19")-COUNTIFS('Theo dõi'!$A$2:$A$601,$A26,'Theo dõi'!$D$2:$D$601,"ChatGPT",'Theo dõi'!$B$2:$B$601,"Q20"))=0,"",(COUNTIFS('Theo dõi'!$A$2:$A$601,$A26,'Theo dõi'!$D$2:$D$601,"ChatGPT",'Theo dõi'!$G$2:$G$601,"Có")-COUNTIFS('Theo dõi'!$A$2:$A$601,$A26,'Theo dõi'!$D$2:$D$601,"ChatGPT",'Theo dõi'!$G$2:$G$601,"Có",'Theo dõi'!$B$2:$B$601,"Q18")-COUNTIFS('Theo dõi'!$A$2:$A$601,$A26,'Theo dõi'!$D$2:$D$601,"ChatGPT",'Theo dõi'!$G$2:$G$601,"Có",'Theo dõi'!$B$2:$B$601,"Q19")-COUNTIFS('Theo dõi'!$A$2:$A$601,$A26,'Theo dõi'!$D$2:$D$601,"ChatGPT",'Theo dõi'!$G$2:$G$601,"Có",'Theo dõi'!$B$2:$B$601,"Q20"))/(COUNTIFS('Theo dõi'!$A$2:$A$601,$A26,'Theo dõi'!$D$2:$D$601,"ChatGPT")-COUNTIFS('Theo dõi'!$A$2:$A$601,$A26,'Theo dõi'!$D$2:$D$601,"ChatGPT",'Theo dõi'!$B$2:$B$601,"Q18")-COUNTIFS('Theo dõi'!$A$2:$A$601,$A26,'Theo dõi'!$D$2:$D$601,"ChatGPT",'Theo dõi'!$B$2:$B$601,"Q19")-COUNTIFS('Theo dõi'!$A$2:$A$601,$A26,'Theo dõi'!$D$2:$D$601,"ChatGPT",'Theo dõi'!$B$2:$B$601,"Q20")))</f>
        <v/>
      </c>
      <c r="D26" s="16" t="str">
        <f aca="false">IF((COUNTIFS('Theo dõi'!$A$2:$A$601,$A26,'Theo dõi'!$D$2:$D$601,"Perplexity")-COUNTIFS('Theo dõi'!$A$2:$A$601,$A26,'Theo dõi'!$D$2:$D$601,"Perplexity",'Theo dõi'!$B$2:$B$601,"Q18")-COUNTIFS('Theo dõi'!$A$2:$A$601,$A26,'Theo dõi'!$D$2:$D$601,"Perplexity",'Theo dõi'!$B$2:$B$601,"Q19")-COUNTIFS('Theo dõi'!$A$2:$A$601,$A26,'Theo dõi'!$D$2:$D$601,"Perplexity",'Theo dõi'!$B$2:$B$601,"Q20"))=0,"",(COUNTIFS('Theo dõi'!$A$2:$A$601,$A26,'Theo dõi'!$D$2:$D$601,"Perplexity",'Theo dõi'!$G$2:$G$601,"Có")-COUNTIFS('Theo dõi'!$A$2:$A$601,$A26,'Theo dõi'!$D$2:$D$601,"Perplexity",'Theo dõi'!$G$2:$G$601,"Có",'Theo dõi'!$B$2:$B$601,"Q18")-COUNTIFS('Theo dõi'!$A$2:$A$601,$A26,'Theo dõi'!$D$2:$D$601,"Perplexity",'Theo dõi'!$G$2:$G$601,"Có",'Theo dõi'!$B$2:$B$601,"Q19")-COUNTIFS('Theo dõi'!$A$2:$A$601,$A26,'Theo dõi'!$D$2:$D$601,"Perplexity",'Theo dõi'!$G$2:$G$601,"Có",'Theo dõi'!$B$2:$B$601,"Q20"))/(COUNTIFS('Theo dõi'!$A$2:$A$601,$A26,'Theo dõi'!$D$2:$D$601,"Perplexity")-COUNTIFS('Theo dõi'!$A$2:$A$601,$A26,'Theo dõi'!$D$2:$D$601,"Perplexity",'Theo dõi'!$B$2:$B$601,"Q18")-COUNTIFS('Theo dõi'!$A$2:$A$601,$A26,'Theo dõi'!$D$2:$D$601,"Perplexity",'Theo dõi'!$B$2:$B$601,"Q19")-COUNTIFS('Theo dõi'!$A$2:$A$601,$A26,'Theo dõi'!$D$2:$D$601,"Perplexity",'Theo dõi'!$B$2:$B$601,"Q20")))</f>
        <v/>
      </c>
      <c r="E26" s="16" t="str">
        <f aca="false">IF((COUNTIFS('Theo dõi'!$A$2:$A$601,$A26,'Theo dõi'!$D$2:$D$601,"Gemini")-COUNTIFS('Theo dõi'!$A$2:$A$601,$A26,'Theo dõi'!$D$2:$D$601,"Gemini",'Theo dõi'!$B$2:$B$601,"Q18")-COUNTIFS('Theo dõi'!$A$2:$A$601,$A26,'Theo dõi'!$D$2:$D$601,"Gemini",'Theo dõi'!$B$2:$B$601,"Q19")-COUNTIFS('Theo dõi'!$A$2:$A$601,$A26,'Theo dõi'!$D$2:$D$601,"Gemini",'Theo dõi'!$B$2:$B$601,"Q20"))=0,"",(COUNTIFS('Theo dõi'!$A$2:$A$601,$A26,'Theo dõi'!$D$2:$D$601,"Gemini",'Theo dõi'!$G$2:$G$601,"Có")-COUNTIFS('Theo dõi'!$A$2:$A$601,$A26,'Theo dõi'!$D$2:$D$601,"Gemini",'Theo dõi'!$G$2:$G$601,"Có",'Theo dõi'!$B$2:$B$601,"Q18")-COUNTIFS('Theo dõi'!$A$2:$A$601,$A26,'Theo dõi'!$D$2:$D$601,"Gemini",'Theo dõi'!$G$2:$G$601,"Có",'Theo dõi'!$B$2:$B$601,"Q19")-COUNTIFS('Theo dõi'!$A$2:$A$601,$A26,'Theo dõi'!$D$2:$D$601,"Gemini",'Theo dõi'!$G$2:$G$601,"Có",'Theo dõi'!$B$2:$B$601,"Q20"))/(COUNTIFS('Theo dõi'!$A$2:$A$601,$A26,'Theo dõi'!$D$2:$D$601,"Gemini")-COUNTIFS('Theo dõi'!$A$2:$A$601,$A26,'Theo dõi'!$D$2:$D$601,"Gemini",'Theo dõi'!$B$2:$B$601,"Q18")-COUNTIFS('Theo dõi'!$A$2:$A$601,$A26,'Theo dõi'!$D$2:$D$601,"Gemini",'Theo dõi'!$B$2:$B$601,"Q19")-COUNTIFS('Theo dõi'!$A$2:$A$601,$A26,'Theo dõi'!$D$2:$D$601,"Gemini",'Theo dõi'!$B$2:$B$601,"Q20")))</f>
        <v/>
      </c>
      <c r="F26" s="16" t="str">
        <f aca="false">IF((COUNTIFS('Theo dõi'!$A$2:$A$601,$A26,'Theo dõi'!$D$2:$D$601,"Google AI Overview")-COUNTIFS('Theo dõi'!$A$2:$A$601,$A26,'Theo dõi'!$D$2:$D$601,"Google AI Overview",'Theo dõi'!$B$2:$B$601,"Q18")-COUNTIFS('Theo dõi'!$A$2:$A$601,$A26,'Theo dõi'!$D$2:$D$601,"Google AI Overview",'Theo dõi'!$B$2:$B$601,"Q19")-COUNTIFS('Theo dõi'!$A$2:$A$601,$A26,'Theo dõi'!$D$2:$D$601,"Google AI Overview",'Theo dõi'!$B$2:$B$601,"Q20"))=0,"",(COUNTIFS('Theo dõi'!$A$2:$A$601,$A26,'Theo dõi'!$D$2:$D$601,"Google AI Overview",'Theo dõi'!$G$2:$G$601,"Có")-COUNTIFS('Theo dõi'!$A$2:$A$601,$A26,'Theo dõi'!$D$2:$D$601,"Google AI Overview",'Theo dõi'!$G$2:$G$601,"Có",'Theo dõi'!$B$2:$B$601,"Q18")-COUNTIFS('Theo dõi'!$A$2:$A$601,$A26,'Theo dõi'!$D$2:$D$601,"Google AI Overview",'Theo dõi'!$G$2:$G$601,"Có",'Theo dõi'!$B$2:$B$601,"Q19")-COUNTIFS('Theo dõi'!$A$2:$A$601,$A26,'Theo dõi'!$D$2:$D$601,"Google AI Overview",'Theo dõi'!$G$2:$G$601,"Có",'Theo dõi'!$B$2:$B$601,"Q20"))/(COUNTIFS('Theo dõi'!$A$2:$A$601,$A26,'Theo dõi'!$D$2:$D$601,"Google AI Overview")-COUNTIFS('Theo dõi'!$A$2:$A$601,$A26,'Theo dõi'!$D$2:$D$601,"Google AI Overview",'Theo dõi'!$B$2:$B$601,"Q18")-COUNTIFS('Theo dõi'!$A$2:$A$601,$A26,'Theo dõi'!$D$2:$D$601,"Google AI Overview",'Theo dõi'!$B$2:$B$601,"Q19")-COUNTIFS('Theo dõi'!$A$2:$A$601,$A26,'Theo dõi'!$D$2:$D$601,"Google AI Overview",'Theo dõi'!$B$2:$B$601,"Q20")))</f>
        <v/>
      </c>
      <c r="G26" s="16" t="str">
        <f aca="false">IF((COUNTIFS('Theo dõi'!$A$2:$A$601,$A26,'Theo dõi'!$D$2:$D$601,"Copilot")-COUNTIFS('Theo dõi'!$A$2:$A$601,$A26,'Theo dõi'!$D$2:$D$601,"Copilot",'Theo dõi'!$B$2:$B$601,"Q18")-COUNTIFS('Theo dõi'!$A$2:$A$601,$A26,'Theo dõi'!$D$2:$D$601,"Copilot",'Theo dõi'!$B$2:$B$601,"Q19")-COUNTIFS('Theo dõi'!$A$2:$A$601,$A26,'Theo dõi'!$D$2:$D$601,"Copilot",'Theo dõi'!$B$2:$B$601,"Q20"))=0,"",(COUNTIFS('Theo dõi'!$A$2:$A$601,$A26,'Theo dõi'!$D$2:$D$601,"Copilot",'Theo dõi'!$G$2:$G$601,"Có")-COUNTIFS('Theo dõi'!$A$2:$A$601,$A26,'Theo dõi'!$D$2:$D$601,"Copilot",'Theo dõi'!$G$2:$G$601,"Có",'Theo dõi'!$B$2:$B$601,"Q18")-COUNTIFS('Theo dõi'!$A$2:$A$601,$A26,'Theo dõi'!$D$2:$D$601,"Copilot",'Theo dõi'!$G$2:$G$601,"Có",'Theo dõi'!$B$2:$B$601,"Q19")-COUNTIFS('Theo dõi'!$A$2:$A$601,$A26,'Theo dõi'!$D$2:$D$601,"Copilot",'Theo dõi'!$G$2:$G$601,"Có",'Theo dõi'!$B$2:$B$601,"Q20"))/(COUNTIFS('Theo dõi'!$A$2:$A$601,$A26,'Theo dõi'!$D$2:$D$601,"Copilot")-COUNTIFS('Theo dõi'!$A$2:$A$601,$A26,'Theo dõi'!$D$2:$D$601,"Copilot",'Theo dõi'!$B$2:$B$601,"Q18")-COUNTIFS('Theo dõi'!$A$2:$A$601,$A26,'Theo dõi'!$D$2:$D$601,"Copilot",'Theo dõi'!$B$2:$B$601,"Q19")-COUNTIFS('Theo dõi'!$A$2:$A$601,$A26,'Theo dõi'!$D$2:$D$601,"Copilot",'Theo dõi'!$B$2:$B$601,"Q20")))</f>
        <v/>
      </c>
      <c r="H26" s="17" t="str">
        <f aca="false">IF((COUNTIFS('Theo dõi'!$A$2:$A$601,$A26,'Theo dõi'!$D$2:$D$601,"&lt;&gt;")-COUNTIFS('Theo dõi'!$A$2:$A$601,$A26,'Theo dõi'!$D$2:$D$601,"&lt;&gt;",'Theo dõi'!$B$2:$B$601,"Q18")-COUNTIFS('Theo dõi'!$A$2:$A$601,$A26,'Theo dõi'!$D$2:$D$601,"&lt;&gt;",'Theo dõi'!$B$2:$B$601,"Q19")-COUNTIFS('Theo dõi'!$A$2:$A$601,$A26,'Theo dõi'!$D$2:$D$601,"&lt;&gt;",'Theo dõi'!$B$2:$B$601,"Q20"))=0,"",(COUNTIFS('Theo dõi'!$A$2:$A$601,$A26,'Theo dõi'!$D$2:$D$601,"&lt;&gt;",'Theo dõi'!$G$2:$G$601,"Có")-COUNTIFS('Theo dõi'!$A$2:$A$601,$A26,'Theo dõi'!$D$2:$D$601,"&lt;&gt;",'Theo dõi'!$G$2:$G$601,"Có",'Theo dõi'!$B$2:$B$601,"Q18")-COUNTIFS('Theo dõi'!$A$2:$A$601,$A26,'Theo dõi'!$D$2:$D$601,"&lt;&gt;",'Theo dõi'!$G$2:$G$601,"Có",'Theo dõi'!$B$2:$B$601,"Q19")-COUNTIFS('Theo dõi'!$A$2:$A$601,$A26,'Theo dõi'!$D$2:$D$601,"&lt;&gt;",'Theo dõi'!$G$2:$G$601,"Có",'Theo dõi'!$B$2:$B$601,"Q20"))/(COUNTIFS('Theo dõi'!$A$2:$A$601,$A26,'Theo dõi'!$D$2:$D$601,"&lt;&gt;")-COUNTIFS('Theo dõi'!$A$2:$A$601,$A26,'Theo dõi'!$D$2:$D$601,"&lt;&gt;",'Theo dõi'!$B$2:$B$601,"Q18")-COUNTIFS('Theo dõi'!$A$2:$A$601,$A26,'Theo dõi'!$D$2:$D$601,"&lt;&gt;",'Theo dõi'!$B$2:$B$601,"Q19")-COUNTIFS('Theo dõi'!$A$2:$A$601,$A26,'Theo dõi'!$D$2:$D$601,"&lt;&gt;",'Theo dõi'!$B$2:$B$601,"Q20")))</f>
        <v/>
      </c>
    </row>
    <row r="27" customFormat="false" ht="15" hidden="false" customHeight="false" outlineLevel="0" collapsed="false">
      <c r="A27" s="14" t="s">
        <v>130</v>
      </c>
      <c r="B27" s="15" t="n">
        <f aca="false">COUNTIFS('Theo dõi'!$A$2:$A$601,$A27,'Theo dõi'!$D$2:$D$601,"&lt;&gt;")-COUNTIFS('Theo dõi'!$A$2:$A$601,$A27,'Theo dõi'!$D$2:$D$601,"&lt;&gt;",'Theo dõi'!$B$2:$B$601,"Q18")-COUNTIFS('Theo dõi'!$A$2:$A$601,$A27,'Theo dõi'!$D$2:$D$601,"&lt;&gt;",'Theo dõi'!$B$2:$B$601,"Q19")-COUNTIFS('Theo dõi'!$A$2:$A$601,$A27,'Theo dõi'!$D$2:$D$601,"&lt;&gt;",'Theo dõi'!$B$2:$B$601,"Q20")</f>
        <v>0</v>
      </c>
      <c r="C27" s="16" t="str">
        <f aca="false">IF((COUNTIFS('Theo dõi'!$A$2:$A$601,$A27,'Theo dõi'!$D$2:$D$601,"ChatGPT")-COUNTIFS('Theo dõi'!$A$2:$A$601,$A27,'Theo dõi'!$D$2:$D$601,"ChatGPT",'Theo dõi'!$B$2:$B$601,"Q18")-COUNTIFS('Theo dõi'!$A$2:$A$601,$A27,'Theo dõi'!$D$2:$D$601,"ChatGPT",'Theo dõi'!$B$2:$B$601,"Q19")-COUNTIFS('Theo dõi'!$A$2:$A$601,$A27,'Theo dõi'!$D$2:$D$601,"ChatGPT",'Theo dõi'!$B$2:$B$601,"Q20"))=0,"",(COUNTIFS('Theo dõi'!$A$2:$A$601,$A27,'Theo dõi'!$D$2:$D$601,"ChatGPT",'Theo dõi'!$G$2:$G$601,"Có")-COUNTIFS('Theo dõi'!$A$2:$A$601,$A27,'Theo dõi'!$D$2:$D$601,"ChatGPT",'Theo dõi'!$G$2:$G$601,"Có",'Theo dõi'!$B$2:$B$601,"Q18")-COUNTIFS('Theo dõi'!$A$2:$A$601,$A27,'Theo dõi'!$D$2:$D$601,"ChatGPT",'Theo dõi'!$G$2:$G$601,"Có",'Theo dõi'!$B$2:$B$601,"Q19")-COUNTIFS('Theo dõi'!$A$2:$A$601,$A27,'Theo dõi'!$D$2:$D$601,"ChatGPT",'Theo dõi'!$G$2:$G$601,"Có",'Theo dõi'!$B$2:$B$601,"Q20"))/(COUNTIFS('Theo dõi'!$A$2:$A$601,$A27,'Theo dõi'!$D$2:$D$601,"ChatGPT")-COUNTIFS('Theo dõi'!$A$2:$A$601,$A27,'Theo dõi'!$D$2:$D$601,"ChatGPT",'Theo dõi'!$B$2:$B$601,"Q18")-COUNTIFS('Theo dõi'!$A$2:$A$601,$A27,'Theo dõi'!$D$2:$D$601,"ChatGPT",'Theo dõi'!$B$2:$B$601,"Q19")-COUNTIFS('Theo dõi'!$A$2:$A$601,$A27,'Theo dõi'!$D$2:$D$601,"ChatGPT",'Theo dõi'!$B$2:$B$601,"Q20")))</f>
        <v/>
      </c>
      <c r="D27" s="16" t="str">
        <f aca="false">IF((COUNTIFS('Theo dõi'!$A$2:$A$601,$A27,'Theo dõi'!$D$2:$D$601,"Perplexity")-COUNTIFS('Theo dõi'!$A$2:$A$601,$A27,'Theo dõi'!$D$2:$D$601,"Perplexity",'Theo dõi'!$B$2:$B$601,"Q18")-COUNTIFS('Theo dõi'!$A$2:$A$601,$A27,'Theo dõi'!$D$2:$D$601,"Perplexity",'Theo dõi'!$B$2:$B$601,"Q19")-COUNTIFS('Theo dõi'!$A$2:$A$601,$A27,'Theo dõi'!$D$2:$D$601,"Perplexity",'Theo dõi'!$B$2:$B$601,"Q20"))=0,"",(COUNTIFS('Theo dõi'!$A$2:$A$601,$A27,'Theo dõi'!$D$2:$D$601,"Perplexity",'Theo dõi'!$G$2:$G$601,"Có")-COUNTIFS('Theo dõi'!$A$2:$A$601,$A27,'Theo dõi'!$D$2:$D$601,"Perplexity",'Theo dõi'!$G$2:$G$601,"Có",'Theo dõi'!$B$2:$B$601,"Q18")-COUNTIFS('Theo dõi'!$A$2:$A$601,$A27,'Theo dõi'!$D$2:$D$601,"Perplexity",'Theo dõi'!$G$2:$G$601,"Có",'Theo dõi'!$B$2:$B$601,"Q19")-COUNTIFS('Theo dõi'!$A$2:$A$601,$A27,'Theo dõi'!$D$2:$D$601,"Perplexity",'Theo dõi'!$G$2:$G$601,"Có",'Theo dõi'!$B$2:$B$601,"Q20"))/(COUNTIFS('Theo dõi'!$A$2:$A$601,$A27,'Theo dõi'!$D$2:$D$601,"Perplexity")-COUNTIFS('Theo dõi'!$A$2:$A$601,$A27,'Theo dõi'!$D$2:$D$601,"Perplexity",'Theo dõi'!$B$2:$B$601,"Q18")-COUNTIFS('Theo dõi'!$A$2:$A$601,$A27,'Theo dõi'!$D$2:$D$601,"Perplexity",'Theo dõi'!$B$2:$B$601,"Q19")-COUNTIFS('Theo dõi'!$A$2:$A$601,$A27,'Theo dõi'!$D$2:$D$601,"Perplexity",'Theo dõi'!$B$2:$B$601,"Q20")))</f>
        <v/>
      </c>
      <c r="E27" s="16" t="str">
        <f aca="false">IF((COUNTIFS('Theo dõi'!$A$2:$A$601,$A27,'Theo dõi'!$D$2:$D$601,"Gemini")-COUNTIFS('Theo dõi'!$A$2:$A$601,$A27,'Theo dõi'!$D$2:$D$601,"Gemini",'Theo dõi'!$B$2:$B$601,"Q18")-COUNTIFS('Theo dõi'!$A$2:$A$601,$A27,'Theo dõi'!$D$2:$D$601,"Gemini",'Theo dõi'!$B$2:$B$601,"Q19")-COUNTIFS('Theo dõi'!$A$2:$A$601,$A27,'Theo dõi'!$D$2:$D$601,"Gemini",'Theo dõi'!$B$2:$B$601,"Q20"))=0,"",(COUNTIFS('Theo dõi'!$A$2:$A$601,$A27,'Theo dõi'!$D$2:$D$601,"Gemini",'Theo dõi'!$G$2:$G$601,"Có")-COUNTIFS('Theo dõi'!$A$2:$A$601,$A27,'Theo dõi'!$D$2:$D$601,"Gemini",'Theo dõi'!$G$2:$G$601,"Có",'Theo dõi'!$B$2:$B$601,"Q18")-COUNTIFS('Theo dõi'!$A$2:$A$601,$A27,'Theo dõi'!$D$2:$D$601,"Gemini",'Theo dõi'!$G$2:$G$601,"Có",'Theo dõi'!$B$2:$B$601,"Q19")-COUNTIFS('Theo dõi'!$A$2:$A$601,$A27,'Theo dõi'!$D$2:$D$601,"Gemini",'Theo dõi'!$G$2:$G$601,"Có",'Theo dõi'!$B$2:$B$601,"Q20"))/(COUNTIFS('Theo dõi'!$A$2:$A$601,$A27,'Theo dõi'!$D$2:$D$601,"Gemini")-COUNTIFS('Theo dõi'!$A$2:$A$601,$A27,'Theo dõi'!$D$2:$D$601,"Gemini",'Theo dõi'!$B$2:$B$601,"Q18")-COUNTIFS('Theo dõi'!$A$2:$A$601,$A27,'Theo dõi'!$D$2:$D$601,"Gemini",'Theo dõi'!$B$2:$B$601,"Q19")-COUNTIFS('Theo dõi'!$A$2:$A$601,$A27,'Theo dõi'!$D$2:$D$601,"Gemini",'Theo dõi'!$B$2:$B$601,"Q20")))</f>
        <v/>
      </c>
      <c r="F27" s="16" t="str">
        <f aca="false">IF((COUNTIFS('Theo dõi'!$A$2:$A$601,$A27,'Theo dõi'!$D$2:$D$601,"Google AI Overview")-COUNTIFS('Theo dõi'!$A$2:$A$601,$A27,'Theo dõi'!$D$2:$D$601,"Google AI Overview",'Theo dõi'!$B$2:$B$601,"Q18")-COUNTIFS('Theo dõi'!$A$2:$A$601,$A27,'Theo dõi'!$D$2:$D$601,"Google AI Overview",'Theo dõi'!$B$2:$B$601,"Q19")-COUNTIFS('Theo dõi'!$A$2:$A$601,$A27,'Theo dõi'!$D$2:$D$601,"Google AI Overview",'Theo dõi'!$B$2:$B$601,"Q20"))=0,"",(COUNTIFS('Theo dõi'!$A$2:$A$601,$A27,'Theo dõi'!$D$2:$D$601,"Google AI Overview",'Theo dõi'!$G$2:$G$601,"Có")-COUNTIFS('Theo dõi'!$A$2:$A$601,$A27,'Theo dõi'!$D$2:$D$601,"Google AI Overview",'Theo dõi'!$G$2:$G$601,"Có",'Theo dõi'!$B$2:$B$601,"Q18")-COUNTIFS('Theo dõi'!$A$2:$A$601,$A27,'Theo dõi'!$D$2:$D$601,"Google AI Overview",'Theo dõi'!$G$2:$G$601,"Có",'Theo dõi'!$B$2:$B$601,"Q19")-COUNTIFS('Theo dõi'!$A$2:$A$601,$A27,'Theo dõi'!$D$2:$D$601,"Google AI Overview",'Theo dõi'!$G$2:$G$601,"Có",'Theo dõi'!$B$2:$B$601,"Q20"))/(COUNTIFS('Theo dõi'!$A$2:$A$601,$A27,'Theo dõi'!$D$2:$D$601,"Google AI Overview")-COUNTIFS('Theo dõi'!$A$2:$A$601,$A27,'Theo dõi'!$D$2:$D$601,"Google AI Overview",'Theo dõi'!$B$2:$B$601,"Q18")-COUNTIFS('Theo dõi'!$A$2:$A$601,$A27,'Theo dõi'!$D$2:$D$601,"Google AI Overview",'Theo dõi'!$B$2:$B$601,"Q19")-COUNTIFS('Theo dõi'!$A$2:$A$601,$A27,'Theo dõi'!$D$2:$D$601,"Google AI Overview",'Theo dõi'!$B$2:$B$601,"Q20")))</f>
        <v/>
      </c>
      <c r="G27" s="16" t="str">
        <f aca="false">IF((COUNTIFS('Theo dõi'!$A$2:$A$601,$A27,'Theo dõi'!$D$2:$D$601,"Copilot")-COUNTIFS('Theo dõi'!$A$2:$A$601,$A27,'Theo dõi'!$D$2:$D$601,"Copilot",'Theo dõi'!$B$2:$B$601,"Q18")-COUNTIFS('Theo dõi'!$A$2:$A$601,$A27,'Theo dõi'!$D$2:$D$601,"Copilot",'Theo dõi'!$B$2:$B$601,"Q19")-COUNTIFS('Theo dõi'!$A$2:$A$601,$A27,'Theo dõi'!$D$2:$D$601,"Copilot",'Theo dõi'!$B$2:$B$601,"Q20"))=0,"",(COUNTIFS('Theo dõi'!$A$2:$A$601,$A27,'Theo dõi'!$D$2:$D$601,"Copilot",'Theo dõi'!$G$2:$G$601,"Có")-COUNTIFS('Theo dõi'!$A$2:$A$601,$A27,'Theo dõi'!$D$2:$D$601,"Copilot",'Theo dõi'!$G$2:$G$601,"Có",'Theo dõi'!$B$2:$B$601,"Q18")-COUNTIFS('Theo dõi'!$A$2:$A$601,$A27,'Theo dõi'!$D$2:$D$601,"Copilot",'Theo dõi'!$G$2:$G$601,"Có",'Theo dõi'!$B$2:$B$601,"Q19")-COUNTIFS('Theo dõi'!$A$2:$A$601,$A27,'Theo dõi'!$D$2:$D$601,"Copilot",'Theo dõi'!$G$2:$G$601,"Có",'Theo dõi'!$B$2:$B$601,"Q20"))/(COUNTIFS('Theo dõi'!$A$2:$A$601,$A27,'Theo dõi'!$D$2:$D$601,"Copilot")-COUNTIFS('Theo dõi'!$A$2:$A$601,$A27,'Theo dõi'!$D$2:$D$601,"Copilot",'Theo dõi'!$B$2:$B$601,"Q18")-COUNTIFS('Theo dõi'!$A$2:$A$601,$A27,'Theo dõi'!$D$2:$D$601,"Copilot",'Theo dõi'!$B$2:$B$601,"Q19")-COUNTIFS('Theo dõi'!$A$2:$A$601,$A27,'Theo dõi'!$D$2:$D$601,"Copilot",'Theo dõi'!$B$2:$B$601,"Q20")))</f>
        <v/>
      </c>
      <c r="H27" s="17" t="str">
        <f aca="false">IF((COUNTIFS('Theo dõi'!$A$2:$A$601,$A27,'Theo dõi'!$D$2:$D$601,"&lt;&gt;")-COUNTIFS('Theo dõi'!$A$2:$A$601,$A27,'Theo dõi'!$D$2:$D$601,"&lt;&gt;",'Theo dõi'!$B$2:$B$601,"Q18")-COUNTIFS('Theo dõi'!$A$2:$A$601,$A27,'Theo dõi'!$D$2:$D$601,"&lt;&gt;",'Theo dõi'!$B$2:$B$601,"Q19")-COUNTIFS('Theo dõi'!$A$2:$A$601,$A27,'Theo dõi'!$D$2:$D$601,"&lt;&gt;",'Theo dõi'!$B$2:$B$601,"Q20"))=0,"",(COUNTIFS('Theo dõi'!$A$2:$A$601,$A27,'Theo dõi'!$D$2:$D$601,"&lt;&gt;",'Theo dõi'!$G$2:$G$601,"Có")-COUNTIFS('Theo dõi'!$A$2:$A$601,$A27,'Theo dõi'!$D$2:$D$601,"&lt;&gt;",'Theo dõi'!$G$2:$G$601,"Có",'Theo dõi'!$B$2:$B$601,"Q18")-COUNTIFS('Theo dõi'!$A$2:$A$601,$A27,'Theo dõi'!$D$2:$D$601,"&lt;&gt;",'Theo dõi'!$G$2:$G$601,"Có",'Theo dõi'!$B$2:$B$601,"Q19")-COUNTIFS('Theo dõi'!$A$2:$A$601,$A27,'Theo dõi'!$D$2:$D$601,"&lt;&gt;",'Theo dõi'!$G$2:$G$601,"Có",'Theo dõi'!$B$2:$B$601,"Q20"))/(COUNTIFS('Theo dõi'!$A$2:$A$601,$A27,'Theo dõi'!$D$2:$D$601,"&lt;&gt;")-COUNTIFS('Theo dõi'!$A$2:$A$601,$A27,'Theo dõi'!$D$2:$D$601,"&lt;&gt;",'Theo dõi'!$B$2:$B$601,"Q18")-COUNTIFS('Theo dõi'!$A$2:$A$601,$A27,'Theo dõi'!$D$2:$D$601,"&lt;&gt;",'Theo dõi'!$B$2:$B$601,"Q19")-COUNTIFS('Theo dõi'!$A$2:$A$601,$A27,'Theo dõi'!$D$2:$D$601,"&lt;&gt;",'Theo dõi'!$B$2:$B$601,"Q20")))</f>
        <v/>
      </c>
    </row>
    <row r="28" customFormat="false" ht="15" hidden="false" customHeight="false" outlineLevel="0" collapsed="false">
      <c r="A28" s="14" t="s">
        <v>131</v>
      </c>
      <c r="B28" s="15" t="n">
        <f aca="false">COUNTIFS('Theo dõi'!$A$2:$A$601,$A28,'Theo dõi'!$D$2:$D$601,"&lt;&gt;")-COUNTIFS('Theo dõi'!$A$2:$A$601,$A28,'Theo dõi'!$D$2:$D$601,"&lt;&gt;",'Theo dõi'!$B$2:$B$601,"Q18")-COUNTIFS('Theo dõi'!$A$2:$A$601,$A28,'Theo dõi'!$D$2:$D$601,"&lt;&gt;",'Theo dõi'!$B$2:$B$601,"Q19")-COUNTIFS('Theo dõi'!$A$2:$A$601,$A28,'Theo dõi'!$D$2:$D$601,"&lt;&gt;",'Theo dõi'!$B$2:$B$601,"Q20")</f>
        <v>0</v>
      </c>
      <c r="C28" s="16" t="str">
        <f aca="false">IF((COUNTIFS('Theo dõi'!$A$2:$A$601,$A28,'Theo dõi'!$D$2:$D$601,"ChatGPT")-COUNTIFS('Theo dõi'!$A$2:$A$601,$A28,'Theo dõi'!$D$2:$D$601,"ChatGPT",'Theo dõi'!$B$2:$B$601,"Q18")-COUNTIFS('Theo dõi'!$A$2:$A$601,$A28,'Theo dõi'!$D$2:$D$601,"ChatGPT",'Theo dõi'!$B$2:$B$601,"Q19")-COUNTIFS('Theo dõi'!$A$2:$A$601,$A28,'Theo dõi'!$D$2:$D$601,"ChatGPT",'Theo dõi'!$B$2:$B$601,"Q20"))=0,"",(COUNTIFS('Theo dõi'!$A$2:$A$601,$A28,'Theo dõi'!$D$2:$D$601,"ChatGPT",'Theo dõi'!$G$2:$G$601,"Có")-COUNTIFS('Theo dõi'!$A$2:$A$601,$A28,'Theo dõi'!$D$2:$D$601,"ChatGPT",'Theo dõi'!$G$2:$G$601,"Có",'Theo dõi'!$B$2:$B$601,"Q18")-COUNTIFS('Theo dõi'!$A$2:$A$601,$A28,'Theo dõi'!$D$2:$D$601,"ChatGPT",'Theo dõi'!$G$2:$G$601,"Có",'Theo dõi'!$B$2:$B$601,"Q19")-COUNTIFS('Theo dõi'!$A$2:$A$601,$A28,'Theo dõi'!$D$2:$D$601,"ChatGPT",'Theo dõi'!$G$2:$G$601,"Có",'Theo dõi'!$B$2:$B$601,"Q20"))/(COUNTIFS('Theo dõi'!$A$2:$A$601,$A28,'Theo dõi'!$D$2:$D$601,"ChatGPT")-COUNTIFS('Theo dõi'!$A$2:$A$601,$A28,'Theo dõi'!$D$2:$D$601,"ChatGPT",'Theo dõi'!$B$2:$B$601,"Q18")-COUNTIFS('Theo dõi'!$A$2:$A$601,$A28,'Theo dõi'!$D$2:$D$601,"ChatGPT",'Theo dõi'!$B$2:$B$601,"Q19")-COUNTIFS('Theo dõi'!$A$2:$A$601,$A28,'Theo dõi'!$D$2:$D$601,"ChatGPT",'Theo dõi'!$B$2:$B$601,"Q20")))</f>
        <v/>
      </c>
      <c r="D28" s="16" t="str">
        <f aca="false">IF((COUNTIFS('Theo dõi'!$A$2:$A$601,$A28,'Theo dõi'!$D$2:$D$601,"Perplexity")-COUNTIFS('Theo dõi'!$A$2:$A$601,$A28,'Theo dõi'!$D$2:$D$601,"Perplexity",'Theo dõi'!$B$2:$B$601,"Q18")-COUNTIFS('Theo dõi'!$A$2:$A$601,$A28,'Theo dõi'!$D$2:$D$601,"Perplexity",'Theo dõi'!$B$2:$B$601,"Q19")-COUNTIFS('Theo dõi'!$A$2:$A$601,$A28,'Theo dõi'!$D$2:$D$601,"Perplexity",'Theo dõi'!$B$2:$B$601,"Q20"))=0,"",(COUNTIFS('Theo dõi'!$A$2:$A$601,$A28,'Theo dõi'!$D$2:$D$601,"Perplexity",'Theo dõi'!$G$2:$G$601,"Có")-COUNTIFS('Theo dõi'!$A$2:$A$601,$A28,'Theo dõi'!$D$2:$D$601,"Perplexity",'Theo dõi'!$G$2:$G$601,"Có",'Theo dõi'!$B$2:$B$601,"Q18")-COUNTIFS('Theo dõi'!$A$2:$A$601,$A28,'Theo dõi'!$D$2:$D$601,"Perplexity",'Theo dõi'!$G$2:$G$601,"Có",'Theo dõi'!$B$2:$B$601,"Q19")-COUNTIFS('Theo dõi'!$A$2:$A$601,$A28,'Theo dõi'!$D$2:$D$601,"Perplexity",'Theo dõi'!$G$2:$G$601,"Có",'Theo dõi'!$B$2:$B$601,"Q20"))/(COUNTIFS('Theo dõi'!$A$2:$A$601,$A28,'Theo dõi'!$D$2:$D$601,"Perplexity")-COUNTIFS('Theo dõi'!$A$2:$A$601,$A28,'Theo dõi'!$D$2:$D$601,"Perplexity",'Theo dõi'!$B$2:$B$601,"Q18")-COUNTIFS('Theo dõi'!$A$2:$A$601,$A28,'Theo dõi'!$D$2:$D$601,"Perplexity",'Theo dõi'!$B$2:$B$601,"Q19")-COUNTIFS('Theo dõi'!$A$2:$A$601,$A28,'Theo dõi'!$D$2:$D$601,"Perplexity",'Theo dõi'!$B$2:$B$601,"Q20")))</f>
        <v/>
      </c>
      <c r="E28" s="16" t="str">
        <f aca="false">IF((COUNTIFS('Theo dõi'!$A$2:$A$601,$A28,'Theo dõi'!$D$2:$D$601,"Gemini")-COUNTIFS('Theo dõi'!$A$2:$A$601,$A28,'Theo dõi'!$D$2:$D$601,"Gemini",'Theo dõi'!$B$2:$B$601,"Q18")-COUNTIFS('Theo dõi'!$A$2:$A$601,$A28,'Theo dõi'!$D$2:$D$601,"Gemini",'Theo dõi'!$B$2:$B$601,"Q19")-COUNTIFS('Theo dõi'!$A$2:$A$601,$A28,'Theo dõi'!$D$2:$D$601,"Gemini",'Theo dõi'!$B$2:$B$601,"Q20"))=0,"",(COUNTIFS('Theo dõi'!$A$2:$A$601,$A28,'Theo dõi'!$D$2:$D$601,"Gemini",'Theo dõi'!$G$2:$G$601,"Có")-COUNTIFS('Theo dõi'!$A$2:$A$601,$A28,'Theo dõi'!$D$2:$D$601,"Gemini",'Theo dõi'!$G$2:$G$601,"Có",'Theo dõi'!$B$2:$B$601,"Q18")-COUNTIFS('Theo dõi'!$A$2:$A$601,$A28,'Theo dõi'!$D$2:$D$601,"Gemini",'Theo dõi'!$G$2:$G$601,"Có",'Theo dõi'!$B$2:$B$601,"Q19")-COUNTIFS('Theo dõi'!$A$2:$A$601,$A28,'Theo dõi'!$D$2:$D$601,"Gemini",'Theo dõi'!$G$2:$G$601,"Có",'Theo dõi'!$B$2:$B$601,"Q20"))/(COUNTIFS('Theo dõi'!$A$2:$A$601,$A28,'Theo dõi'!$D$2:$D$601,"Gemini")-COUNTIFS('Theo dõi'!$A$2:$A$601,$A28,'Theo dõi'!$D$2:$D$601,"Gemini",'Theo dõi'!$B$2:$B$601,"Q18")-COUNTIFS('Theo dõi'!$A$2:$A$601,$A28,'Theo dõi'!$D$2:$D$601,"Gemini",'Theo dõi'!$B$2:$B$601,"Q19")-COUNTIFS('Theo dõi'!$A$2:$A$601,$A28,'Theo dõi'!$D$2:$D$601,"Gemini",'Theo dõi'!$B$2:$B$601,"Q20")))</f>
        <v/>
      </c>
      <c r="F28" s="16" t="str">
        <f aca="false">IF((COUNTIFS('Theo dõi'!$A$2:$A$601,$A28,'Theo dõi'!$D$2:$D$601,"Google AI Overview")-COUNTIFS('Theo dõi'!$A$2:$A$601,$A28,'Theo dõi'!$D$2:$D$601,"Google AI Overview",'Theo dõi'!$B$2:$B$601,"Q18")-COUNTIFS('Theo dõi'!$A$2:$A$601,$A28,'Theo dõi'!$D$2:$D$601,"Google AI Overview",'Theo dõi'!$B$2:$B$601,"Q19")-COUNTIFS('Theo dõi'!$A$2:$A$601,$A28,'Theo dõi'!$D$2:$D$601,"Google AI Overview",'Theo dõi'!$B$2:$B$601,"Q20"))=0,"",(COUNTIFS('Theo dõi'!$A$2:$A$601,$A28,'Theo dõi'!$D$2:$D$601,"Google AI Overview",'Theo dõi'!$G$2:$G$601,"Có")-COUNTIFS('Theo dõi'!$A$2:$A$601,$A28,'Theo dõi'!$D$2:$D$601,"Google AI Overview",'Theo dõi'!$G$2:$G$601,"Có",'Theo dõi'!$B$2:$B$601,"Q18")-COUNTIFS('Theo dõi'!$A$2:$A$601,$A28,'Theo dõi'!$D$2:$D$601,"Google AI Overview",'Theo dõi'!$G$2:$G$601,"Có",'Theo dõi'!$B$2:$B$601,"Q19")-COUNTIFS('Theo dõi'!$A$2:$A$601,$A28,'Theo dõi'!$D$2:$D$601,"Google AI Overview",'Theo dõi'!$G$2:$G$601,"Có",'Theo dõi'!$B$2:$B$601,"Q20"))/(COUNTIFS('Theo dõi'!$A$2:$A$601,$A28,'Theo dõi'!$D$2:$D$601,"Google AI Overview")-COUNTIFS('Theo dõi'!$A$2:$A$601,$A28,'Theo dõi'!$D$2:$D$601,"Google AI Overview",'Theo dõi'!$B$2:$B$601,"Q18")-COUNTIFS('Theo dõi'!$A$2:$A$601,$A28,'Theo dõi'!$D$2:$D$601,"Google AI Overview",'Theo dõi'!$B$2:$B$601,"Q19")-COUNTIFS('Theo dõi'!$A$2:$A$601,$A28,'Theo dõi'!$D$2:$D$601,"Google AI Overview",'Theo dõi'!$B$2:$B$601,"Q20")))</f>
        <v/>
      </c>
      <c r="G28" s="16" t="str">
        <f aca="false">IF((COUNTIFS('Theo dõi'!$A$2:$A$601,$A28,'Theo dõi'!$D$2:$D$601,"Copilot")-COUNTIFS('Theo dõi'!$A$2:$A$601,$A28,'Theo dõi'!$D$2:$D$601,"Copilot",'Theo dõi'!$B$2:$B$601,"Q18")-COUNTIFS('Theo dõi'!$A$2:$A$601,$A28,'Theo dõi'!$D$2:$D$601,"Copilot",'Theo dõi'!$B$2:$B$601,"Q19")-COUNTIFS('Theo dõi'!$A$2:$A$601,$A28,'Theo dõi'!$D$2:$D$601,"Copilot",'Theo dõi'!$B$2:$B$601,"Q20"))=0,"",(COUNTIFS('Theo dõi'!$A$2:$A$601,$A28,'Theo dõi'!$D$2:$D$601,"Copilot",'Theo dõi'!$G$2:$G$601,"Có")-COUNTIFS('Theo dõi'!$A$2:$A$601,$A28,'Theo dõi'!$D$2:$D$601,"Copilot",'Theo dõi'!$G$2:$G$601,"Có",'Theo dõi'!$B$2:$B$601,"Q18")-COUNTIFS('Theo dõi'!$A$2:$A$601,$A28,'Theo dõi'!$D$2:$D$601,"Copilot",'Theo dõi'!$G$2:$G$601,"Có",'Theo dõi'!$B$2:$B$601,"Q19")-COUNTIFS('Theo dõi'!$A$2:$A$601,$A28,'Theo dõi'!$D$2:$D$601,"Copilot",'Theo dõi'!$G$2:$G$601,"Có",'Theo dõi'!$B$2:$B$601,"Q20"))/(COUNTIFS('Theo dõi'!$A$2:$A$601,$A28,'Theo dõi'!$D$2:$D$601,"Copilot")-COUNTIFS('Theo dõi'!$A$2:$A$601,$A28,'Theo dõi'!$D$2:$D$601,"Copilot",'Theo dõi'!$B$2:$B$601,"Q18")-COUNTIFS('Theo dõi'!$A$2:$A$601,$A28,'Theo dõi'!$D$2:$D$601,"Copilot",'Theo dõi'!$B$2:$B$601,"Q19")-COUNTIFS('Theo dõi'!$A$2:$A$601,$A28,'Theo dõi'!$D$2:$D$601,"Copilot",'Theo dõi'!$B$2:$B$601,"Q20")))</f>
        <v/>
      </c>
      <c r="H28" s="17" t="str">
        <f aca="false">IF((COUNTIFS('Theo dõi'!$A$2:$A$601,$A28,'Theo dõi'!$D$2:$D$601,"&lt;&gt;")-COUNTIFS('Theo dõi'!$A$2:$A$601,$A28,'Theo dõi'!$D$2:$D$601,"&lt;&gt;",'Theo dõi'!$B$2:$B$601,"Q18")-COUNTIFS('Theo dõi'!$A$2:$A$601,$A28,'Theo dõi'!$D$2:$D$601,"&lt;&gt;",'Theo dõi'!$B$2:$B$601,"Q19")-COUNTIFS('Theo dõi'!$A$2:$A$601,$A28,'Theo dõi'!$D$2:$D$601,"&lt;&gt;",'Theo dõi'!$B$2:$B$601,"Q20"))=0,"",(COUNTIFS('Theo dõi'!$A$2:$A$601,$A28,'Theo dõi'!$D$2:$D$601,"&lt;&gt;",'Theo dõi'!$G$2:$G$601,"Có")-COUNTIFS('Theo dõi'!$A$2:$A$601,$A28,'Theo dõi'!$D$2:$D$601,"&lt;&gt;",'Theo dõi'!$G$2:$G$601,"Có",'Theo dõi'!$B$2:$B$601,"Q18")-COUNTIFS('Theo dõi'!$A$2:$A$601,$A28,'Theo dõi'!$D$2:$D$601,"&lt;&gt;",'Theo dõi'!$G$2:$G$601,"Có",'Theo dõi'!$B$2:$B$601,"Q19")-COUNTIFS('Theo dõi'!$A$2:$A$601,$A28,'Theo dõi'!$D$2:$D$601,"&lt;&gt;",'Theo dõi'!$G$2:$G$601,"Có",'Theo dõi'!$B$2:$B$601,"Q20"))/(COUNTIFS('Theo dõi'!$A$2:$A$601,$A28,'Theo dõi'!$D$2:$D$601,"&lt;&gt;")-COUNTIFS('Theo dõi'!$A$2:$A$601,$A28,'Theo dõi'!$D$2:$D$601,"&lt;&gt;",'Theo dõi'!$B$2:$B$601,"Q18")-COUNTIFS('Theo dõi'!$A$2:$A$601,$A28,'Theo dõi'!$D$2:$D$601,"&lt;&gt;",'Theo dõi'!$B$2:$B$601,"Q19")-COUNTIFS('Theo dõi'!$A$2:$A$601,$A28,'Theo dõi'!$D$2:$D$601,"&lt;&gt;",'Theo dõi'!$B$2:$B$601,"Q20")))</f>
        <v/>
      </c>
    </row>
    <row r="29" customFormat="false" ht="15" hidden="false" customHeight="false" outlineLevel="0" collapsed="false">
      <c r="A29" s="14" t="s">
        <v>132</v>
      </c>
      <c r="B29" s="15" t="n">
        <f aca="false">COUNTIFS('Theo dõi'!$A$2:$A$601,$A29,'Theo dõi'!$D$2:$D$601,"&lt;&gt;")-COUNTIFS('Theo dõi'!$A$2:$A$601,$A29,'Theo dõi'!$D$2:$D$601,"&lt;&gt;",'Theo dõi'!$B$2:$B$601,"Q18")-COUNTIFS('Theo dõi'!$A$2:$A$601,$A29,'Theo dõi'!$D$2:$D$601,"&lt;&gt;",'Theo dõi'!$B$2:$B$601,"Q19")-COUNTIFS('Theo dõi'!$A$2:$A$601,$A29,'Theo dõi'!$D$2:$D$601,"&lt;&gt;",'Theo dõi'!$B$2:$B$601,"Q20")</f>
        <v>0</v>
      </c>
      <c r="C29" s="16" t="str">
        <f aca="false">IF((COUNTIFS('Theo dõi'!$A$2:$A$601,$A29,'Theo dõi'!$D$2:$D$601,"ChatGPT")-COUNTIFS('Theo dõi'!$A$2:$A$601,$A29,'Theo dõi'!$D$2:$D$601,"ChatGPT",'Theo dõi'!$B$2:$B$601,"Q18")-COUNTIFS('Theo dõi'!$A$2:$A$601,$A29,'Theo dõi'!$D$2:$D$601,"ChatGPT",'Theo dõi'!$B$2:$B$601,"Q19")-COUNTIFS('Theo dõi'!$A$2:$A$601,$A29,'Theo dõi'!$D$2:$D$601,"ChatGPT",'Theo dõi'!$B$2:$B$601,"Q20"))=0,"",(COUNTIFS('Theo dõi'!$A$2:$A$601,$A29,'Theo dõi'!$D$2:$D$601,"ChatGPT",'Theo dõi'!$G$2:$G$601,"Có")-COUNTIFS('Theo dõi'!$A$2:$A$601,$A29,'Theo dõi'!$D$2:$D$601,"ChatGPT",'Theo dõi'!$G$2:$G$601,"Có",'Theo dõi'!$B$2:$B$601,"Q18")-COUNTIFS('Theo dõi'!$A$2:$A$601,$A29,'Theo dõi'!$D$2:$D$601,"ChatGPT",'Theo dõi'!$G$2:$G$601,"Có",'Theo dõi'!$B$2:$B$601,"Q19")-COUNTIFS('Theo dõi'!$A$2:$A$601,$A29,'Theo dõi'!$D$2:$D$601,"ChatGPT",'Theo dõi'!$G$2:$G$601,"Có",'Theo dõi'!$B$2:$B$601,"Q20"))/(COUNTIFS('Theo dõi'!$A$2:$A$601,$A29,'Theo dõi'!$D$2:$D$601,"ChatGPT")-COUNTIFS('Theo dõi'!$A$2:$A$601,$A29,'Theo dõi'!$D$2:$D$601,"ChatGPT",'Theo dõi'!$B$2:$B$601,"Q18")-COUNTIFS('Theo dõi'!$A$2:$A$601,$A29,'Theo dõi'!$D$2:$D$601,"ChatGPT",'Theo dõi'!$B$2:$B$601,"Q19")-COUNTIFS('Theo dõi'!$A$2:$A$601,$A29,'Theo dõi'!$D$2:$D$601,"ChatGPT",'Theo dõi'!$B$2:$B$601,"Q20")))</f>
        <v/>
      </c>
      <c r="D29" s="16" t="str">
        <f aca="false">IF((COUNTIFS('Theo dõi'!$A$2:$A$601,$A29,'Theo dõi'!$D$2:$D$601,"Perplexity")-COUNTIFS('Theo dõi'!$A$2:$A$601,$A29,'Theo dõi'!$D$2:$D$601,"Perplexity",'Theo dõi'!$B$2:$B$601,"Q18")-COUNTIFS('Theo dõi'!$A$2:$A$601,$A29,'Theo dõi'!$D$2:$D$601,"Perplexity",'Theo dõi'!$B$2:$B$601,"Q19")-COUNTIFS('Theo dõi'!$A$2:$A$601,$A29,'Theo dõi'!$D$2:$D$601,"Perplexity",'Theo dõi'!$B$2:$B$601,"Q20"))=0,"",(COUNTIFS('Theo dõi'!$A$2:$A$601,$A29,'Theo dõi'!$D$2:$D$601,"Perplexity",'Theo dõi'!$G$2:$G$601,"Có")-COUNTIFS('Theo dõi'!$A$2:$A$601,$A29,'Theo dõi'!$D$2:$D$601,"Perplexity",'Theo dõi'!$G$2:$G$601,"Có",'Theo dõi'!$B$2:$B$601,"Q18")-COUNTIFS('Theo dõi'!$A$2:$A$601,$A29,'Theo dõi'!$D$2:$D$601,"Perplexity",'Theo dõi'!$G$2:$G$601,"Có",'Theo dõi'!$B$2:$B$601,"Q19")-COUNTIFS('Theo dõi'!$A$2:$A$601,$A29,'Theo dõi'!$D$2:$D$601,"Perplexity",'Theo dõi'!$G$2:$G$601,"Có",'Theo dõi'!$B$2:$B$601,"Q20"))/(COUNTIFS('Theo dõi'!$A$2:$A$601,$A29,'Theo dõi'!$D$2:$D$601,"Perplexity")-COUNTIFS('Theo dõi'!$A$2:$A$601,$A29,'Theo dõi'!$D$2:$D$601,"Perplexity",'Theo dõi'!$B$2:$B$601,"Q18")-COUNTIFS('Theo dõi'!$A$2:$A$601,$A29,'Theo dõi'!$D$2:$D$601,"Perplexity",'Theo dõi'!$B$2:$B$601,"Q19")-COUNTIFS('Theo dõi'!$A$2:$A$601,$A29,'Theo dõi'!$D$2:$D$601,"Perplexity",'Theo dõi'!$B$2:$B$601,"Q20")))</f>
        <v/>
      </c>
      <c r="E29" s="16" t="str">
        <f aca="false">IF((COUNTIFS('Theo dõi'!$A$2:$A$601,$A29,'Theo dõi'!$D$2:$D$601,"Gemini")-COUNTIFS('Theo dõi'!$A$2:$A$601,$A29,'Theo dõi'!$D$2:$D$601,"Gemini",'Theo dõi'!$B$2:$B$601,"Q18")-COUNTIFS('Theo dõi'!$A$2:$A$601,$A29,'Theo dõi'!$D$2:$D$601,"Gemini",'Theo dõi'!$B$2:$B$601,"Q19")-COUNTIFS('Theo dõi'!$A$2:$A$601,$A29,'Theo dõi'!$D$2:$D$601,"Gemini",'Theo dõi'!$B$2:$B$601,"Q20"))=0,"",(COUNTIFS('Theo dõi'!$A$2:$A$601,$A29,'Theo dõi'!$D$2:$D$601,"Gemini",'Theo dõi'!$G$2:$G$601,"Có")-COUNTIFS('Theo dõi'!$A$2:$A$601,$A29,'Theo dõi'!$D$2:$D$601,"Gemini",'Theo dõi'!$G$2:$G$601,"Có",'Theo dõi'!$B$2:$B$601,"Q18")-COUNTIFS('Theo dõi'!$A$2:$A$601,$A29,'Theo dõi'!$D$2:$D$601,"Gemini",'Theo dõi'!$G$2:$G$601,"Có",'Theo dõi'!$B$2:$B$601,"Q19")-COUNTIFS('Theo dõi'!$A$2:$A$601,$A29,'Theo dõi'!$D$2:$D$601,"Gemini",'Theo dõi'!$G$2:$G$601,"Có",'Theo dõi'!$B$2:$B$601,"Q20"))/(COUNTIFS('Theo dõi'!$A$2:$A$601,$A29,'Theo dõi'!$D$2:$D$601,"Gemini")-COUNTIFS('Theo dõi'!$A$2:$A$601,$A29,'Theo dõi'!$D$2:$D$601,"Gemini",'Theo dõi'!$B$2:$B$601,"Q18")-COUNTIFS('Theo dõi'!$A$2:$A$601,$A29,'Theo dõi'!$D$2:$D$601,"Gemini",'Theo dõi'!$B$2:$B$601,"Q19")-COUNTIFS('Theo dõi'!$A$2:$A$601,$A29,'Theo dõi'!$D$2:$D$601,"Gemini",'Theo dõi'!$B$2:$B$601,"Q20")))</f>
        <v/>
      </c>
      <c r="F29" s="16" t="str">
        <f aca="false">IF((COUNTIFS('Theo dõi'!$A$2:$A$601,$A29,'Theo dõi'!$D$2:$D$601,"Google AI Overview")-COUNTIFS('Theo dõi'!$A$2:$A$601,$A29,'Theo dõi'!$D$2:$D$601,"Google AI Overview",'Theo dõi'!$B$2:$B$601,"Q18")-COUNTIFS('Theo dõi'!$A$2:$A$601,$A29,'Theo dõi'!$D$2:$D$601,"Google AI Overview",'Theo dõi'!$B$2:$B$601,"Q19")-COUNTIFS('Theo dõi'!$A$2:$A$601,$A29,'Theo dõi'!$D$2:$D$601,"Google AI Overview",'Theo dõi'!$B$2:$B$601,"Q20"))=0,"",(COUNTIFS('Theo dõi'!$A$2:$A$601,$A29,'Theo dõi'!$D$2:$D$601,"Google AI Overview",'Theo dõi'!$G$2:$G$601,"Có")-COUNTIFS('Theo dõi'!$A$2:$A$601,$A29,'Theo dõi'!$D$2:$D$601,"Google AI Overview",'Theo dõi'!$G$2:$G$601,"Có",'Theo dõi'!$B$2:$B$601,"Q18")-COUNTIFS('Theo dõi'!$A$2:$A$601,$A29,'Theo dõi'!$D$2:$D$601,"Google AI Overview",'Theo dõi'!$G$2:$G$601,"Có",'Theo dõi'!$B$2:$B$601,"Q19")-COUNTIFS('Theo dõi'!$A$2:$A$601,$A29,'Theo dõi'!$D$2:$D$601,"Google AI Overview",'Theo dõi'!$G$2:$G$601,"Có",'Theo dõi'!$B$2:$B$601,"Q20"))/(COUNTIFS('Theo dõi'!$A$2:$A$601,$A29,'Theo dõi'!$D$2:$D$601,"Google AI Overview")-COUNTIFS('Theo dõi'!$A$2:$A$601,$A29,'Theo dõi'!$D$2:$D$601,"Google AI Overview",'Theo dõi'!$B$2:$B$601,"Q18")-COUNTIFS('Theo dõi'!$A$2:$A$601,$A29,'Theo dõi'!$D$2:$D$601,"Google AI Overview",'Theo dõi'!$B$2:$B$601,"Q19")-COUNTIFS('Theo dõi'!$A$2:$A$601,$A29,'Theo dõi'!$D$2:$D$601,"Google AI Overview",'Theo dõi'!$B$2:$B$601,"Q20")))</f>
        <v/>
      </c>
      <c r="G29" s="16" t="str">
        <f aca="false">IF((COUNTIFS('Theo dõi'!$A$2:$A$601,$A29,'Theo dõi'!$D$2:$D$601,"Copilot")-COUNTIFS('Theo dõi'!$A$2:$A$601,$A29,'Theo dõi'!$D$2:$D$601,"Copilot",'Theo dõi'!$B$2:$B$601,"Q18")-COUNTIFS('Theo dõi'!$A$2:$A$601,$A29,'Theo dõi'!$D$2:$D$601,"Copilot",'Theo dõi'!$B$2:$B$601,"Q19")-COUNTIFS('Theo dõi'!$A$2:$A$601,$A29,'Theo dõi'!$D$2:$D$601,"Copilot",'Theo dõi'!$B$2:$B$601,"Q20"))=0,"",(COUNTIFS('Theo dõi'!$A$2:$A$601,$A29,'Theo dõi'!$D$2:$D$601,"Copilot",'Theo dõi'!$G$2:$G$601,"Có")-COUNTIFS('Theo dõi'!$A$2:$A$601,$A29,'Theo dõi'!$D$2:$D$601,"Copilot",'Theo dõi'!$G$2:$G$601,"Có",'Theo dõi'!$B$2:$B$601,"Q18")-COUNTIFS('Theo dõi'!$A$2:$A$601,$A29,'Theo dõi'!$D$2:$D$601,"Copilot",'Theo dõi'!$G$2:$G$601,"Có",'Theo dõi'!$B$2:$B$601,"Q19")-COUNTIFS('Theo dõi'!$A$2:$A$601,$A29,'Theo dõi'!$D$2:$D$601,"Copilot",'Theo dõi'!$G$2:$G$601,"Có",'Theo dõi'!$B$2:$B$601,"Q20"))/(COUNTIFS('Theo dõi'!$A$2:$A$601,$A29,'Theo dõi'!$D$2:$D$601,"Copilot")-COUNTIFS('Theo dõi'!$A$2:$A$601,$A29,'Theo dõi'!$D$2:$D$601,"Copilot",'Theo dõi'!$B$2:$B$601,"Q18")-COUNTIFS('Theo dõi'!$A$2:$A$601,$A29,'Theo dõi'!$D$2:$D$601,"Copilot",'Theo dõi'!$B$2:$B$601,"Q19")-COUNTIFS('Theo dõi'!$A$2:$A$601,$A29,'Theo dõi'!$D$2:$D$601,"Copilot",'Theo dõi'!$B$2:$B$601,"Q20")))</f>
        <v/>
      </c>
      <c r="H29" s="17" t="str">
        <f aca="false">IF((COUNTIFS('Theo dõi'!$A$2:$A$601,$A29,'Theo dõi'!$D$2:$D$601,"&lt;&gt;")-COUNTIFS('Theo dõi'!$A$2:$A$601,$A29,'Theo dõi'!$D$2:$D$601,"&lt;&gt;",'Theo dõi'!$B$2:$B$601,"Q18")-COUNTIFS('Theo dõi'!$A$2:$A$601,$A29,'Theo dõi'!$D$2:$D$601,"&lt;&gt;",'Theo dõi'!$B$2:$B$601,"Q19")-COUNTIFS('Theo dõi'!$A$2:$A$601,$A29,'Theo dõi'!$D$2:$D$601,"&lt;&gt;",'Theo dõi'!$B$2:$B$601,"Q20"))=0,"",(COUNTIFS('Theo dõi'!$A$2:$A$601,$A29,'Theo dõi'!$D$2:$D$601,"&lt;&gt;",'Theo dõi'!$G$2:$G$601,"Có")-COUNTIFS('Theo dõi'!$A$2:$A$601,$A29,'Theo dõi'!$D$2:$D$601,"&lt;&gt;",'Theo dõi'!$G$2:$G$601,"Có",'Theo dõi'!$B$2:$B$601,"Q18")-COUNTIFS('Theo dõi'!$A$2:$A$601,$A29,'Theo dõi'!$D$2:$D$601,"&lt;&gt;",'Theo dõi'!$G$2:$G$601,"Có",'Theo dõi'!$B$2:$B$601,"Q19")-COUNTIFS('Theo dõi'!$A$2:$A$601,$A29,'Theo dõi'!$D$2:$D$601,"&lt;&gt;",'Theo dõi'!$G$2:$G$601,"Có",'Theo dõi'!$B$2:$B$601,"Q20"))/(COUNTIFS('Theo dõi'!$A$2:$A$601,$A29,'Theo dõi'!$D$2:$D$601,"&lt;&gt;")-COUNTIFS('Theo dõi'!$A$2:$A$601,$A29,'Theo dõi'!$D$2:$D$601,"&lt;&gt;",'Theo dõi'!$B$2:$B$601,"Q18")-COUNTIFS('Theo dõi'!$A$2:$A$601,$A29,'Theo dõi'!$D$2:$D$601,"&lt;&gt;",'Theo dõi'!$B$2:$B$601,"Q19")-COUNTIFS('Theo dõi'!$A$2:$A$601,$A29,'Theo dõi'!$D$2:$D$601,"&lt;&gt;",'Theo dõi'!$B$2:$B$601,"Q20")))</f>
        <v/>
      </c>
    </row>
    <row r="30" customFormat="false" ht="15" hidden="false" customHeight="false" outlineLevel="0" collapsed="false">
      <c r="A30" s="14" t="s">
        <v>133</v>
      </c>
      <c r="B30" s="15" t="n">
        <f aca="false">COUNTIFS('Theo dõi'!$A$2:$A$601,$A30,'Theo dõi'!$D$2:$D$601,"&lt;&gt;")-COUNTIFS('Theo dõi'!$A$2:$A$601,$A30,'Theo dõi'!$D$2:$D$601,"&lt;&gt;",'Theo dõi'!$B$2:$B$601,"Q18")-COUNTIFS('Theo dõi'!$A$2:$A$601,$A30,'Theo dõi'!$D$2:$D$601,"&lt;&gt;",'Theo dõi'!$B$2:$B$601,"Q19")-COUNTIFS('Theo dõi'!$A$2:$A$601,$A30,'Theo dõi'!$D$2:$D$601,"&lt;&gt;",'Theo dõi'!$B$2:$B$601,"Q20")</f>
        <v>0</v>
      </c>
      <c r="C30" s="16" t="str">
        <f aca="false">IF((COUNTIFS('Theo dõi'!$A$2:$A$601,$A30,'Theo dõi'!$D$2:$D$601,"ChatGPT")-COUNTIFS('Theo dõi'!$A$2:$A$601,$A30,'Theo dõi'!$D$2:$D$601,"ChatGPT",'Theo dõi'!$B$2:$B$601,"Q18")-COUNTIFS('Theo dõi'!$A$2:$A$601,$A30,'Theo dõi'!$D$2:$D$601,"ChatGPT",'Theo dõi'!$B$2:$B$601,"Q19")-COUNTIFS('Theo dõi'!$A$2:$A$601,$A30,'Theo dõi'!$D$2:$D$601,"ChatGPT",'Theo dõi'!$B$2:$B$601,"Q20"))=0,"",(COUNTIFS('Theo dõi'!$A$2:$A$601,$A30,'Theo dõi'!$D$2:$D$601,"ChatGPT",'Theo dõi'!$G$2:$G$601,"Có")-COUNTIFS('Theo dõi'!$A$2:$A$601,$A30,'Theo dõi'!$D$2:$D$601,"ChatGPT",'Theo dõi'!$G$2:$G$601,"Có",'Theo dõi'!$B$2:$B$601,"Q18")-COUNTIFS('Theo dõi'!$A$2:$A$601,$A30,'Theo dõi'!$D$2:$D$601,"ChatGPT",'Theo dõi'!$G$2:$G$601,"Có",'Theo dõi'!$B$2:$B$601,"Q19")-COUNTIFS('Theo dõi'!$A$2:$A$601,$A30,'Theo dõi'!$D$2:$D$601,"ChatGPT",'Theo dõi'!$G$2:$G$601,"Có",'Theo dõi'!$B$2:$B$601,"Q20"))/(COUNTIFS('Theo dõi'!$A$2:$A$601,$A30,'Theo dõi'!$D$2:$D$601,"ChatGPT")-COUNTIFS('Theo dõi'!$A$2:$A$601,$A30,'Theo dõi'!$D$2:$D$601,"ChatGPT",'Theo dõi'!$B$2:$B$601,"Q18")-COUNTIFS('Theo dõi'!$A$2:$A$601,$A30,'Theo dõi'!$D$2:$D$601,"ChatGPT",'Theo dõi'!$B$2:$B$601,"Q19")-COUNTIFS('Theo dõi'!$A$2:$A$601,$A30,'Theo dõi'!$D$2:$D$601,"ChatGPT",'Theo dõi'!$B$2:$B$601,"Q20")))</f>
        <v/>
      </c>
      <c r="D30" s="16" t="str">
        <f aca="false">IF((COUNTIFS('Theo dõi'!$A$2:$A$601,$A30,'Theo dõi'!$D$2:$D$601,"Perplexity")-COUNTIFS('Theo dõi'!$A$2:$A$601,$A30,'Theo dõi'!$D$2:$D$601,"Perplexity",'Theo dõi'!$B$2:$B$601,"Q18")-COUNTIFS('Theo dõi'!$A$2:$A$601,$A30,'Theo dõi'!$D$2:$D$601,"Perplexity",'Theo dõi'!$B$2:$B$601,"Q19")-COUNTIFS('Theo dõi'!$A$2:$A$601,$A30,'Theo dõi'!$D$2:$D$601,"Perplexity",'Theo dõi'!$B$2:$B$601,"Q20"))=0,"",(COUNTIFS('Theo dõi'!$A$2:$A$601,$A30,'Theo dõi'!$D$2:$D$601,"Perplexity",'Theo dõi'!$G$2:$G$601,"Có")-COUNTIFS('Theo dõi'!$A$2:$A$601,$A30,'Theo dõi'!$D$2:$D$601,"Perplexity",'Theo dõi'!$G$2:$G$601,"Có",'Theo dõi'!$B$2:$B$601,"Q18")-COUNTIFS('Theo dõi'!$A$2:$A$601,$A30,'Theo dõi'!$D$2:$D$601,"Perplexity",'Theo dõi'!$G$2:$G$601,"Có",'Theo dõi'!$B$2:$B$601,"Q19")-COUNTIFS('Theo dõi'!$A$2:$A$601,$A30,'Theo dõi'!$D$2:$D$601,"Perplexity",'Theo dõi'!$G$2:$G$601,"Có",'Theo dõi'!$B$2:$B$601,"Q20"))/(COUNTIFS('Theo dõi'!$A$2:$A$601,$A30,'Theo dõi'!$D$2:$D$601,"Perplexity")-COUNTIFS('Theo dõi'!$A$2:$A$601,$A30,'Theo dõi'!$D$2:$D$601,"Perplexity",'Theo dõi'!$B$2:$B$601,"Q18")-COUNTIFS('Theo dõi'!$A$2:$A$601,$A30,'Theo dõi'!$D$2:$D$601,"Perplexity",'Theo dõi'!$B$2:$B$601,"Q19")-COUNTIFS('Theo dõi'!$A$2:$A$601,$A30,'Theo dõi'!$D$2:$D$601,"Perplexity",'Theo dõi'!$B$2:$B$601,"Q20")))</f>
        <v/>
      </c>
      <c r="E30" s="16" t="str">
        <f aca="false">IF((COUNTIFS('Theo dõi'!$A$2:$A$601,$A30,'Theo dõi'!$D$2:$D$601,"Gemini")-COUNTIFS('Theo dõi'!$A$2:$A$601,$A30,'Theo dõi'!$D$2:$D$601,"Gemini",'Theo dõi'!$B$2:$B$601,"Q18")-COUNTIFS('Theo dõi'!$A$2:$A$601,$A30,'Theo dõi'!$D$2:$D$601,"Gemini",'Theo dõi'!$B$2:$B$601,"Q19")-COUNTIFS('Theo dõi'!$A$2:$A$601,$A30,'Theo dõi'!$D$2:$D$601,"Gemini",'Theo dõi'!$B$2:$B$601,"Q20"))=0,"",(COUNTIFS('Theo dõi'!$A$2:$A$601,$A30,'Theo dõi'!$D$2:$D$601,"Gemini",'Theo dõi'!$G$2:$G$601,"Có")-COUNTIFS('Theo dõi'!$A$2:$A$601,$A30,'Theo dõi'!$D$2:$D$601,"Gemini",'Theo dõi'!$G$2:$G$601,"Có",'Theo dõi'!$B$2:$B$601,"Q18")-COUNTIFS('Theo dõi'!$A$2:$A$601,$A30,'Theo dõi'!$D$2:$D$601,"Gemini",'Theo dõi'!$G$2:$G$601,"Có",'Theo dõi'!$B$2:$B$601,"Q19")-COUNTIFS('Theo dõi'!$A$2:$A$601,$A30,'Theo dõi'!$D$2:$D$601,"Gemini",'Theo dõi'!$G$2:$G$601,"Có",'Theo dõi'!$B$2:$B$601,"Q20"))/(COUNTIFS('Theo dõi'!$A$2:$A$601,$A30,'Theo dõi'!$D$2:$D$601,"Gemini")-COUNTIFS('Theo dõi'!$A$2:$A$601,$A30,'Theo dõi'!$D$2:$D$601,"Gemini",'Theo dõi'!$B$2:$B$601,"Q18")-COUNTIFS('Theo dõi'!$A$2:$A$601,$A30,'Theo dõi'!$D$2:$D$601,"Gemini",'Theo dõi'!$B$2:$B$601,"Q19")-COUNTIFS('Theo dõi'!$A$2:$A$601,$A30,'Theo dõi'!$D$2:$D$601,"Gemini",'Theo dõi'!$B$2:$B$601,"Q20")))</f>
        <v/>
      </c>
      <c r="F30" s="16" t="str">
        <f aca="false">IF((COUNTIFS('Theo dõi'!$A$2:$A$601,$A30,'Theo dõi'!$D$2:$D$601,"Google AI Overview")-COUNTIFS('Theo dõi'!$A$2:$A$601,$A30,'Theo dõi'!$D$2:$D$601,"Google AI Overview",'Theo dõi'!$B$2:$B$601,"Q18")-COUNTIFS('Theo dõi'!$A$2:$A$601,$A30,'Theo dõi'!$D$2:$D$601,"Google AI Overview",'Theo dõi'!$B$2:$B$601,"Q19")-COUNTIFS('Theo dõi'!$A$2:$A$601,$A30,'Theo dõi'!$D$2:$D$601,"Google AI Overview",'Theo dõi'!$B$2:$B$601,"Q20"))=0,"",(COUNTIFS('Theo dõi'!$A$2:$A$601,$A30,'Theo dõi'!$D$2:$D$601,"Google AI Overview",'Theo dõi'!$G$2:$G$601,"Có")-COUNTIFS('Theo dõi'!$A$2:$A$601,$A30,'Theo dõi'!$D$2:$D$601,"Google AI Overview",'Theo dõi'!$G$2:$G$601,"Có",'Theo dõi'!$B$2:$B$601,"Q18")-COUNTIFS('Theo dõi'!$A$2:$A$601,$A30,'Theo dõi'!$D$2:$D$601,"Google AI Overview",'Theo dõi'!$G$2:$G$601,"Có",'Theo dõi'!$B$2:$B$601,"Q19")-COUNTIFS('Theo dõi'!$A$2:$A$601,$A30,'Theo dõi'!$D$2:$D$601,"Google AI Overview",'Theo dõi'!$G$2:$G$601,"Có",'Theo dõi'!$B$2:$B$601,"Q20"))/(COUNTIFS('Theo dõi'!$A$2:$A$601,$A30,'Theo dõi'!$D$2:$D$601,"Google AI Overview")-COUNTIFS('Theo dõi'!$A$2:$A$601,$A30,'Theo dõi'!$D$2:$D$601,"Google AI Overview",'Theo dõi'!$B$2:$B$601,"Q18")-COUNTIFS('Theo dõi'!$A$2:$A$601,$A30,'Theo dõi'!$D$2:$D$601,"Google AI Overview",'Theo dõi'!$B$2:$B$601,"Q19")-COUNTIFS('Theo dõi'!$A$2:$A$601,$A30,'Theo dõi'!$D$2:$D$601,"Google AI Overview",'Theo dõi'!$B$2:$B$601,"Q20")))</f>
        <v/>
      </c>
      <c r="G30" s="16" t="str">
        <f aca="false">IF((COUNTIFS('Theo dõi'!$A$2:$A$601,$A30,'Theo dõi'!$D$2:$D$601,"Copilot")-COUNTIFS('Theo dõi'!$A$2:$A$601,$A30,'Theo dõi'!$D$2:$D$601,"Copilot",'Theo dõi'!$B$2:$B$601,"Q18")-COUNTIFS('Theo dõi'!$A$2:$A$601,$A30,'Theo dõi'!$D$2:$D$601,"Copilot",'Theo dõi'!$B$2:$B$601,"Q19")-COUNTIFS('Theo dõi'!$A$2:$A$601,$A30,'Theo dõi'!$D$2:$D$601,"Copilot",'Theo dõi'!$B$2:$B$601,"Q20"))=0,"",(COUNTIFS('Theo dõi'!$A$2:$A$601,$A30,'Theo dõi'!$D$2:$D$601,"Copilot",'Theo dõi'!$G$2:$G$601,"Có")-COUNTIFS('Theo dõi'!$A$2:$A$601,$A30,'Theo dõi'!$D$2:$D$601,"Copilot",'Theo dõi'!$G$2:$G$601,"Có",'Theo dõi'!$B$2:$B$601,"Q18")-COUNTIFS('Theo dõi'!$A$2:$A$601,$A30,'Theo dõi'!$D$2:$D$601,"Copilot",'Theo dõi'!$G$2:$G$601,"Có",'Theo dõi'!$B$2:$B$601,"Q19")-COUNTIFS('Theo dõi'!$A$2:$A$601,$A30,'Theo dõi'!$D$2:$D$601,"Copilot",'Theo dõi'!$G$2:$G$601,"Có",'Theo dõi'!$B$2:$B$601,"Q20"))/(COUNTIFS('Theo dõi'!$A$2:$A$601,$A30,'Theo dõi'!$D$2:$D$601,"Copilot")-COUNTIFS('Theo dõi'!$A$2:$A$601,$A30,'Theo dõi'!$D$2:$D$601,"Copilot",'Theo dõi'!$B$2:$B$601,"Q18")-COUNTIFS('Theo dõi'!$A$2:$A$601,$A30,'Theo dõi'!$D$2:$D$601,"Copilot",'Theo dõi'!$B$2:$B$601,"Q19")-COUNTIFS('Theo dõi'!$A$2:$A$601,$A30,'Theo dõi'!$D$2:$D$601,"Copilot",'Theo dõi'!$B$2:$B$601,"Q20")))</f>
        <v/>
      </c>
      <c r="H30" s="17" t="str">
        <f aca="false">IF((COUNTIFS('Theo dõi'!$A$2:$A$601,$A30,'Theo dõi'!$D$2:$D$601,"&lt;&gt;")-COUNTIFS('Theo dõi'!$A$2:$A$601,$A30,'Theo dõi'!$D$2:$D$601,"&lt;&gt;",'Theo dõi'!$B$2:$B$601,"Q18")-COUNTIFS('Theo dõi'!$A$2:$A$601,$A30,'Theo dõi'!$D$2:$D$601,"&lt;&gt;",'Theo dõi'!$B$2:$B$601,"Q19")-COUNTIFS('Theo dõi'!$A$2:$A$601,$A30,'Theo dõi'!$D$2:$D$601,"&lt;&gt;",'Theo dõi'!$B$2:$B$601,"Q20"))=0,"",(COUNTIFS('Theo dõi'!$A$2:$A$601,$A30,'Theo dõi'!$D$2:$D$601,"&lt;&gt;",'Theo dõi'!$G$2:$G$601,"Có")-COUNTIFS('Theo dõi'!$A$2:$A$601,$A30,'Theo dõi'!$D$2:$D$601,"&lt;&gt;",'Theo dõi'!$G$2:$G$601,"Có",'Theo dõi'!$B$2:$B$601,"Q18")-COUNTIFS('Theo dõi'!$A$2:$A$601,$A30,'Theo dõi'!$D$2:$D$601,"&lt;&gt;",'Theo dõi'!$G$2:$G$601,"Có",'Theo dõi'!$B$2:$B$601,"Q19")-COUNTIFS('Theo dõi'!$A$2:$A$601,$A30,'Theo dõi'!$D$2:$D$601,"&lt;&gt;",'Theo dõi'!$G$2:$G$601,"Có",'Theo dõi'!$B$2:$B$601,"Q20"))/(COUNTIFS('Theo dõi'!$A$2:$A$601,$A30,'Theo dõi'!$D$2:$D$601,"&lt;&gt;")-COUNTIFS('Theo dõi'!$A$2:$A$601,$A30,'Theo dõi'!$D$2:$D$601,"&lt;&gt;",'Theo dõi'!$B$2:$B$601,"Q18")-COUNTIFS('Theo dõi'!$A$2:$A$601,$A30,'Theo dõi'!$D$2:$D$601,"&lt;&gt;",'Theo dõi'!$B$2:$B$601,"Q19")-COUNTIFS('Theo dõi'!$A$2:$A$601,$A30,'Theo dõi'!$D$2:$D$601,"&lt;&gt;",'Theo dõi'!$B$2:$B$601,"Q20")))</f>
        <v/>
      </c>
    </row>
    <row r="31" customFormat="false" ht="15" hidden="false" customHeight="false" outlineLevel="0" collapsed="false">
      <c r="A31" s="14" t="s">
        <v>134</v>
      </c>
      <c r="B31" s="15" t="n">
        <f aca="false">COUNTIFS('Theo dõi'!$A$2:$A$601,$A31,'Theo dõi'!$D$2:$D$601,"&lt;&gt;")-COUNTIFS('Theo dõi'!$A$2:$A$601,$A31,'Theo dõi'!$D$2:$D$601,"&lt;&gt;",'Theo dõi'!$B$2:$B$601,"Q18")-COUNTIFS('Theo dõi'!$A$2:$A$601,$A31,'Theo dõi'!$D$2:$D$601,"&lt;&gt;",'Theo dõi'!$B$2:$B$601,"Q19")-COUNTIFS('Theo dõi'!$A$2:$A$601,$A31,'Theo dõi'!$D$2:$D$601,"&lt;&gt;",'Theo dõi'!$B$2:$B$601,"Q20")</f>
        <v>0</v>
      </c>
      <c r="C31" s="16" t="str">
        <f aca="false">IF((COUNTIFS('Theo dõi'!$A$2:$A$601,$A31,'Theo dõi'!$D$2:$D$601,"ChatGPT")-COUNTIFS('Theo dõi'!$A$2:$A$601,$A31,'Theo dõi'!$D$2:$D$601,"ChatGPT",'Theo dõi'!$B$2:$B$601,"Q18")-COUNTIFS('Theo dõi'!$A$2:$A$601,$A31,'Theo dõi'!$D$2:$D$601,"ChatGPT",'Theo dõi'!$B$2:$B$601,"Q19")-COUNTIFS('Theo dõi'!$A$2:$A$601,$A31,'Theo dõi'!$D$2:$D$601,"ChatGPT",'Theo dõi'!$B$2:$B$601,"Q20"))=0,"",(COUNTIFS('Theo dõi'!$A$2:$A$601,$A31,'Theo dõi'!$D$2:$D$601,"ChatGPT",'Theo dõi'!$G$2:$G$601,"Có")-COUNTIFS('Theo dõi'!$A$2:$A$601,$A31,'Theo dõi'!$D$2:$D$601,"ChatGPT",'Theo dõi'!$G$2:$G$601,"Có",'Theo dõi'!$B$2:$B$601,"Q18")-COUNTIFS('Theo dõi'!$A$2:$A$601,$A31,'Theo dõi'!$D$2:$D$601,"ChatGPT",'Theo dõi'!$G$2:$G$601,"Có",'Theo dõi'!$B$2:$B$601,"Q19")-COUNTIFS('Theo dõi'!$A$2:$A$601,$A31,'Theo dõi'!$D$2:$D$601,"ChatGPT",'Theo dõi'!$G$2:$G$601,"Có",'Theo dõi'!$B$2:$B$601,"Q20"))/(COUNTIFS('Theo dõi'!$A$2:$A$601,$A31,'Theo dõi'!$D$2:$D$601,"ChatGPT")-COUNTIFS('Theo dõi'!$A$2:$A$601,$A31,'Theo dõi'!$D$2:$D$601,"ChatGPT",'Theo dõi'!$B$2:$B$601,"Q18")-COUNTIFS('Theo dõi'!$A$2:$A$601,$A31,'Theo dõi'!$D$2:$D$601,"ChatGPT",'Theo dõi'!$B$2:$B$601,"Q19")-COUNTIFS('Theo dõi'!$A$2:$A$601,$A31,'Theo dõi'!$D$2:$D$601,"ChatGPT",'Theo dõi'!$B$2:$B$601,"Q20")))</f>
        <v/>
      </c>
      <c r="D31" s="16" t="str">
        <f aca="false">IF((COUNTIFS('Theo dõi'!$A$2:$A$601,$A31,'Theo dõi'!$D$2:$D$601,"Perplexity")-COUNTIFS('Theo dõi'!$A$2:$A$601,$A31,'Theo dõi'!$D$2:$D$601,"Perplexity",'Theo dõi'!$B$2:$B$601,"Q18")-COUNTIFS('Theo dõi'!$A$2:$A$601,$A31,'Theo dõi'!$D$2:$D$601,"Perplexity",'Theo dõi'!$B$2:$B$601,"Q19")-COUNTIFS('Theo dõi'!$A$2:$A$601,$A31,'Theo dõi'!$D$2:$D$601,"Perplexity",'Theo dõi'!$B$2:$B$601,"Q20"))=0,"",(COUNTIFS('Theo dõi'!$A$2:$A$601,$A31,'Theo dõi'!$D$2:$D$601,"Perplexity",'Theo dõi'!$G$2:$G$601,"Có")-COUNTIFS('Theo dõi'!$A$2:$A$601,$A31,'Theo dõi'!$D$2:$D$601,"Perplexity",'Theo dõi'!$G$2:$G$601,"Có",'Theo dõi'!$B$2:$B$601,"Q18")-COUNTIFS('Theo dõi'!$A$2:$A$601,$A31,'Theo dõi'!$D$2:$D$601,"Perplexity",'Theo dõi'!$G$2:$G$601,"Có",'Theo dõi'!$B$2:$B$601,"Q19")-COUNTIFS('Theo dõi'!$A$2:$A$601,$A31,'Theo dõi'!$D$2:$D$601,"Perplexity",'Theo dõi'!$G$2:$G$601,"Có",'Theo dõi'!$B$2:$B$601,"Q20"))/(COUNTIFS('Theo dõi'!$A$2:$A$601,$A31,'Theo dõi'!$D$2:$D$601,"Perplexity")-COUNTIFS('Theo dõi'!$A$2:$A$601,$A31,'Theo dõi'!$D$2:$D$601,"Perplexity",'Theo dõi'!$B$2:$B$601,"Q18")-COUNTIFS('Theo dõi'!$A$2:$A$601,$A31,'Theo dõi'!$D$2:$D$601,"Perplexity",'Theo dõi'!$B$2:$B$601,"Q19")-COUNTIFS('Theo dõi'!$A$2:$A$601,$A31,'Theo dõi'!$D$2:$D$601,"Perplexity",'Theo dõi'!$B$2:$B$601,"Q20")))</f>
        <v/>
      </c>
      <c r="E31" s="16" t="str">
        <f aca="false">IF((COUNTIFS('Theo dõi'!$A$2:$A$601,$A31,'Theo dõi'!$D$2:$D$601,"Gemini")-COUNTIFS('Theo dõi'!$A$2:$A$601,$A31,'Theo dõi'!$D$2:$D$601,"Gemini",'Theo dõi'!$B$2:$B$601,"Q18")-COUNTIFS('Theo dõi'!$A$2:$A$601,$A31,'Theo dõi'!$D$2:$D$601,"Gemini",'Theo dõi'!$B$2:$B$601,"Q19")-COUNTIFS('Theo dõi'!$A$2:$A$601,$A31,'Theo dõi'!$D$2:$D$601,"Gemini",'Theo dõi'!$B$2:$B$601,"Q20"))=0,"",(COUNTIFS('Theo dõi'!$A$2:$A$601,$A31,'Theo dõi'!$D$2:$D$601,"Gemini",'Theo dõi'!$G$2:$G$601,"Có")-COUNTIFS('Theo dõi'!$A$2:$A$601,$A31,'Theo dõi'!$D$2:$D$601,"Gemini",'Theo dõi'!$G$2:$G$601,"Có",'Theo dõi'!$B$2:$B$601,"Q18")-COUNTIFS('Theo dõi'!$A$2:$A$601,$A31,'Theo dõi'!$D$2:$D$601,"Gemini",'Theo dõi'!$G$2:$G$601,"Có",'Theo dõi'!$B$2:$B$601,"Q19")-COUNTIFS('Theo dõi'!$A$2:$A$601,$A31,'Theo dõi'!$D$2:$D$601,"Gemini",'Theo dõi'!$G$2:$G$601,"Có",'Theo dõi'!$B$2:$B$601,"Q20"))/(COUNTIFS('Theo dõi'!$A$2:$A$601,$A31,'Theo dõi'!$D$2:$D$601,"Gemini")-COUNTIFS('Theo dõi'!$A$2:$A$601,$A31,'Theo dõi'!$D$2:$D$601,"Gemini",'Theo dõi'!$B$2:$B$601,"Q18")-COUNTIFS('Theo dõi'!$A$2:$A$601,$A31,'Theo dõi'!$D$2:$D$601,"Gemini",'Theo dõi'!$B$2:$B$601,"Q19")-COUNTIFS('Theo dõi'!$A$2:$A$601,$A31,'Theo dõi'!$D$2:$D$601,"Gemini",'Theo dõi'!$B$2:$B$601,"Q20")))</f>
        <v/>
      </c>
      <c r="F31" s="16" t="str">
        <f aca="false">IF((COUNTIFS('Theo dõi'!$A$2:$A$601,$A31,'Theo dõi'!$D$2:$D$601,"Google AI Overview")-COUNTIFS('Theo dõi'!$A$2:$A$601,$A31,'Theo dõi'!$D$2:$D$601,"Google AI Overview",'Theo dõi'!$B$2:$B$601,"Q18")-COUNTIFS('Theo dõi'!$A$2:$A$601,$A31,'Theo dõi'!$D$2:$D$601,"Google AI Overview",'Theo dõi'!$B$2:$B$601,"Q19")-COUNTIFS('Theo dõi'!$A$2:$A$601,$A31,'Theo dõi'!$D$2:$D$601,"Google AI Overview",'Theo dõi'!$B$2:$B$601,"Q20"))=0,"",(COUNTIFS('Theo dõi'!$A$2:$A$601,$A31,'Theo dõi'!$D$2:$D$601,"Google AI Overview",'Theo dõi'!$G$2:$G$601,"Có")-COUNTIFS('Theo dõi'!$A$2:$A$601,$A31,'Theo dõi'!$D$2:$D$601,"Google AI Overview",'Theo dõi'!$G$2:$G$601,"Có",'Theo dõi'!$B$2:$B$601,"Q18")-COUNTIFS('Theo dõi'!$A$2:$A$601,$A31,'Theo dõi'!$D$2:$D$601,"Google AI Overview",'Theo dõi'!$G$2:$G$601,"Có",'Theo dõi'!$B$2:$B$601,"Q19")-COUNTIFS('Theo dõi'!$A$2:$A$601,$A31,'Theo dõi'!$D$2:$D$601,"Google AI Overview",'Theo dõi'!$G$2:$G$601,"Có",'Theo dõi'!$B$2:$B$601,"Q20"))/(COUNTIFS('Theo dõi'!$A$2:$A$601,$A31,'Theo dõi'!$D$2:$D$601,"Google AI Overview")-COUNTIFS('Theo dõi'!$A$2:$A$601,$A31,'Theo dõi'!$D$2:$D$601,"Google AI Overview",'Theo dõi'!$B$2:$B$601,"Q18")-COUNTIFS('Theo dõi'!$A$2:$A$601,$A31,'Theo dõi'!$D$2:$D$601,"Google AI Overview",'Theo dõi'!$B$2:$B$601,"Q19")-COUNTIFS('Theo dõi'!$A$2:$A$601,$A31,'Theo dõi'!$D$2:$D$601,"Google AI Overview",'Theo dõi'!$B$2:$B$601,"Q20")))</f>
        <v/>
      </c>
      <c r="G31" s="16" t="str">
        <f aca="false">IF((COUNTIFS('Theo dõi'!$A$2:$A$601,$A31,'Theo dõi'!$D$2:$D$601,"Copilot")-COUNTIFS('Theo dõi'!$A$2:$A$601,$A31,'Theo dõi'!$D$2:$D$601,"Copilot",'Theo dõi'!$B$2:$B$601,"Q18")-COUNTIFS('Theo dõi'!$A$2:$A$601,$A31,'Theo dõi'!$D$2:$D$601,"Copilot",'Theo dõi'!$B$2:$B$601,"Q19")-COUNTIFS('Theo dõi'!$A$2:$A$601,$A31,'Theo dõi'!$D$2:$D$601,"Copilot",'Theo dõi'!$B$2:$B$601,"Q20"))=0,"",(COUNTIFS('Theo dõi'!$A$2:$A$601,$A31,'Theo dõi'!$D$2:$D$601,"Copilot",'Theo dõi'!$G$2:$G$601,"Có")-COUNTIFS('Theo dõi'!$A$2:$A$601,$A31,'Theo dõi'!$D$2:$D$601,"Copilot",'Theo dõi'!$G$2:$G$601,"Có",'Theo dõi'!$B$2:$B$601,"Q18")-COUNTIFS('Theo dõi'!$A$2:$A$601,$A31,'Theo dõi'!$D$2:$D$601,"Copilot",'Theo dõi'!$G$2:$G$601,"Có",'Theo dõi'!$B$2:$B$601,"Q19")-COUNTIFS('Theo dõi'!$A$2:$A$601,$A31,'Theo dõi'!$D$2:$D$601,"Copilot",'Theo dõi'!$G$2:$G$601,"Có",'Theo dõi'!$B$2:$B$601,"Q20"))/(COUNTIFS('Theo dõi'!$A$2:$A$601,$A31,'Theo dõi'!$D$2:$D$601,"Copilot")-COUNTIFS('Theo dõi'!$A$2:$A$601,$A31,'Theo dõi'!$D$2:$D$601,"Copilot",'Theo dõi'!$B$2:$B$601,"Q18")-COUNTIFS('Theo dõi'!$A$2:$A$601,$A31,'Theo dõi'!$D$2:$D$601,"Copilot",'Theo dõi'!$B$2:$B$601,"Q19")-COUNTIFS('Theo dõi'!$A$2:$A$601,$A31,'Theo dõi'!$D$2:$D$601,"Copilot",'Theo dõi'!$B$2:$B$601,"Q20")))</f>
        <v/>
      </c>
      <c r="H31" s="17" t="str">
        <f aca="false">IF((COUNTIFS('Theo dõi'!$A$2:$A$601,$A31,'Theo dõi'!$D$2:$D$601,"&lt;&gt;")-COUNTIFS('Theo dõi'!$A$2:$A$601,$A31,'Theo dõi'!$D$2:$D$601,"&lt;&gt;",'Theo dõi'!$B$2:$B$601,"Q18")-COUNTIFS('Theo dõi'!$A$2:$A$601,$A31,'Theo dõi'!$D$2:$D$601,"&lt;&gt;",'Theo dõi'!$B$2:$B$601,"Q19")-COUNTIFS('Theo dõi'!$A$2:$A$601,$A31,'Theo dõi'!$D$2:$D$601,"&lt;&gt;",'Theo dõi'!$B$2:$B$601,"Q20"))=0,"",(COUNTIFS('Theo dõi'!$A$2:$A$601,$A31,'Theo dõi'!$D$2:$D$601,"&lt;&gt;",'Theo dõi'!$G$2:$G$601,"Có")-COUNTIFS('Theo dõi'!$A$2:$A$601,$A31,'Theo dõi'!$D$2:$D$601,"&lt;&gt;",'Theo dõi'!$G$2:$G$601,"Có",'Theo dõi'!$B$2:$B$601,"Q18")-COUNTIFS('Theo dõi'!$A$2:$A$601,$A31,'Theo dõi'!$D$2:$D$601,"&lt;&gt;",'Theo dõi'!$G$2:$G$601,"Có",'Theo dõi'!$B$2:$B$601,"Q19")-COUNTIFS('Theo dõi'!$A$2:$A$601,$A31,'Theo dõi'!$D$2:$D$601,"&lt;&gt;",'Theo dõi'!$G$2:$G$601,"Có",'Theo dõi'!$B$2:$B$601,"Q20"))/(COUNTIFS('Theo dõi'!$A$2:$A$601,$A31,'Theo dõi'!$D$2:$D$601,"&lt;&gt;")-COUNTIFS('Theo dõi'!$A$2:$A$601,$A31,'Theo dõi'!$D$2:$D$601,"&lt;&gt;",'Theo dõi'!$B$2:$B$601,"Q18")-COUNTIFS('Theo dõi'!$A$2:$A$601,$A31,'Theo dõi'!$D$2:$D$601,"&lt;&gt;",'Theo dõi'!$B$2:$B$601,"Q19")-COUNTIFS('Theo dõi'!$A$2:$A$601,$A31,'Theo dõi'!$D$2:$D$601,"&lt;&gt;",'Theo dõi'!$B$2:$B$601,"Q20")))</f>
        <v/>
      </c>
    </row>
    <row r="32" customFormat="false" ht="15" hidden="false" customHeight="false" outlineLevel="0" collapsed="false">
      <c r="A32" s="14" t="s">
        <v>135</v>
      </c>
      <c r="B32" s="15" t="n">
        <f aca="false">COUNTIFS('Theo dõi'!$A$2:$A$601,$A32,'Theo dõi'!$D$2:$D$601,"&lt;&gt;")-COUNTIFS('Theo dõi'!$A$2:$A$601,$A32,'Theo dõi'!$D$2:$D$601,"&lt;&gt;",'Theo dõi'!$B$2:$B$601,"Q18")-COUNTIFS('Theo dõi'!$A$2:$A$601,$A32,'Theo dõi'!$D$2:$D$601,"&lt;&gt;",'Theo dõi'!$B$2:$B$601,"Q19")-COUNTIFS('Theo dõi'!$A$2:$A$601,$A32,'Theo dõi'!$D$2:$D$601,"&lt;&gt;",'Theo dõi'!$B$2:$B$601,"Q20")</f>
        <v>0</v>
      </c>
      <c r="C32" s="16" t="str">
        <f aca="false">IF((COUNTIFS('Theo dõi'!$A$2:$A$601,$A32,'Theo dõi'!$D$2:$D$601,"ChatGPT")-COUNTIFS('Theo dõi'!$A$2:$A$601,$A32,'Theo dõi'!$D$2:$D$601,"ChatGPT",'Theo dõi'!$B$2:$B$601,"Q18")-COUNTIFS('Theo dõi'!$A$2:$A$601,$A32,'Theo dõi'!$D$2:$D$601,"ChatGPT",'Theo dõi'!$B$2:$B$601,"Q19")-COUNTIFS('Theo dõi'!$A$2:$A$601,$A32,'Theo dõi'!$D$2:$D$601,"ChatGPT",'Theo dõi'!$B$2:$B$601,"Q20"))=0,"",(COUNTIFS('Theo dõi'!$A$2:$A$601,$A32,'Theo dõi'!$D$2:$D$601,"ChatGPT",'Theo dõi'!$G$2:$G$601,"Có")-COUNTIFS('Theo dõi'!$A$2:$A$601,$A32,'Theo dõi'!$D$2:$D$601,"ChatGPT",'Theo dõi'!$G$2:$G$601,"Có",'Theo dõi'!$B$2:$B$601,"Q18")-COUNTIFS('Theo dõi'!$A$2:$A$601,$A32,'Theo dõi'!$D$2:$D$601,"ChatGPT",'Theo dõi'!$G$2:$G$601,"Có",'Theo dõi'!$B$2:$B$601,"Q19")-COUNTIFS('Theo dõi'!$A$2:$A$601,$A32,'Theo dõi'!$D$2:$D$601,"ChatGPT",'Theo dõi'!$G$2:$G$601,"Có",'Theo dõi'!$B$2:$B$601,"Q20"))/(COUNTIFS('Theo dõi'!$A$2:$A$601,$A32,'Theo dõi'!$D$2:$D$601,"ChatGPT")-COUNTIFS('Theo dõi'!$A$2:$A$601,$A32,'Theo dõi'!$D$2:$D$601,"ChatGPT",'Theo dõi'!$B$2:$B$601,"Q18")-COUNTIFS('Theo dõi'!$A$2:$A$601,$A32,'Theo dõi'!$D$2:$D$601,"ChatGPT",'Theo dõi'!$B$2:$B$601,"Q19")-COUNTIFS('Theo dõi'!$A$2:$A$601,$A32,'Theo dõi'!$D$2:$D$601,"ChatGPT",'Theo dõi'!$B$2:$B$601,"Q20")))</f>
        <v/>
      </c>
      <c r="D32" s="16" t="str">
        <f aca="false">IF((COUNTIFS('Theo dõi'!$A$2:$A$601,$A32,'Theo dõi'!$D$2:$D$601,"Perplexity")-COUNTIFS('Theo dõi'!$A$2:$A$601,$A32,'Theo dõi'!$D$2:$D$601,"Perplexity",'Theo dõi'!$B$2:$B$601,"Q18")-COUNTIFS('Theo dõi'!$A$2:$A$601,$A32,'Theo dõi'!$D$2:$D$601,"Perplexity",'Theo dõi'!$B$2:$B$601,"Q19")-COUNTIFS('Theo dõi'!$A$2:$A$601,$A32,'Theo dõi'!$D$2:$D$601,"Perplexity",'Theo dõi'!$B$2:$B$601,"Q20"))=0,"",(COUNTIFS('Theo dõi'!$A$2:$A$601,$A32,'Theo dõi'!$D$2:$D$601,"Perplexity",'Theo dõi'!$G$2:$G$601,"Có")-COUNTIFS('Theo dõi'!$A$2:$A$601,$A32,'Theo dõi'!$D$2:$D$601,"Perplexity",'Theo dõi'!$G$2:$G$601,"Có",'Theo dõi'!$B$2:$B$601,"Q18")-COUNTIFS('Theo dõi'!$A$2:$A$601,$A32,'Theo dõi'!$D$2:$D$601,"Perplexity",'Theo dõi'!$G$2:$G$601,"Có",'Theo dõi'!$B$2:$B$601,"Q19")-COUNTIFS('Theo dõi'!$A$2:$A$601,$A32,'Theo dõi'!$D$2:$D$601,"Perplexity",'Theo dõi'!$G$2:$G$601,"Có",'Theo dõi'!$B$2:$B$601,"Q20"))/(COUNTIFS('Theo dõi'!$A$2:$A$601,$A32,'Theo dõi'!$D$2:$D$601,"Perplexity")-COUNTIFS('Theo dõi'!$A$2:$A$601,$A32,'Theo dõi'!$D$2:$D$601,"Perplexity",'Theo dõi'!$B$2:$B$601,"Q18")-COUNTIFS('Theo dõi'!$A$2:$A$601,$A32,'Theo dõi'!$D$2:$D$601,"Perplexity",'Theo dõi'!$B$2:$B$601,"Q19")-COUNTIFS('Theo dõi'!$A$2:$A$601,$A32,'Theo dõi'!$D$2:$D$601,"Perplexity",'Theo dõi'!$B$2:$B$601,"Q20")))</f>
        <v/>
      </c>
      <c r="E32" s="16" t="str">
        <f aca="false">IF((COUNTIFS('Theo dõi'!$A$2:$A$601,$A32,'Theo dõi'!$D$2:$D$601,"Gemini")-COUNTIFS('Theo dõi'!$A$2:$A$601,$A32,'Theo dõi'!$D$2:$D$601,"Gemini",'Theo dõi'!$B$2:$B$601,"Q18")-COUNTIFS('Theo dõi'!$A$2:$A$601,$A32,'Theo dõi'!$D$2:$D$601,"Gemini",'Theo dõi'!$B$2:$B$601,"Q19")-COUNTIFS('Theo dõi'!$A$2:$A$601,$A32,'Theo dõi'!$D$2:$D$601,"Gemini",'Theo dõi'!$B$2:$B$601,"Q20"))=0,"",(COUNTIFS('Theo dõi'!$A$2:$A$601,$A32,'Theo dõi'!$D$2:$D$601,"Gemini",'Theo dõi'!$G$2:$G$601,"Có")-COUNTIFS('Theo dõi'!$A$2:$A$601,$A32,'Theo dõi'!$D$2:$D$601,"Gemini",'Theo dõi'!$G$2:$G$601,"Có",'Theo dõi'!$B$2:$B$601,"Q18")-COUNTIFS('Theo dõi'!$A$2:$A$601,$A32,'Theo dõi'!$D$2:$D$601,"Gemini",'Theo dõi'!$G$2:$G$601,"Có",'Theo dõi'!$B$2:$B$601,"Q19")-COUNTIFS('Theo dõi'!$A$2:$A$601,$A32,'Theo dõi'!$D$2:$D$601,"Gemini",'Theo dõi'!$G$2:$G$601,"Có",'Theo dõi'!$B$2:$B$601,"Q20"))/(COUNTIFS('Theo dõi'!$A$2:$A$601,$A32,'Theo dõi'!$D$2:$D$601,"Gemini")-COUNTIFS('Theo dõi'!$A$2:$A$601,$A32,'Theo dõi'!$D$2:$D$601,"Gemini",'Theo dõi'!$B$2:$B$601,"Q18")-COUNTIFS('Theo dõi'!$A$2:$A$601,$A32,'Theo dõi'!$D$2:$D$601,"Gemini",'Theo dõi'!$B$2:$B$601,"Q19")-COUNTIFS('Theo dõi'!$A$2:$A$601,$A32,'Theo dõi'!$D$2:$D$601,"Gemini",'Theo dõi'!$B$2:$B$601,"Q20")))</f>
        <v/>
      </c>
      <c r="F32" s="16" t="str">
        <f aca="false">IF((COUNTIFS('Theo dõi'!$A$2:$A$601,$A32,'Theo dõi'!$D$2:$D$601,"Google AI Overview")-COUNTIFS('Theo dõi'!$A$2:$A$601,$A32,'Theo dõi'!$D$2:$D$601,"Google AI Overview",'Theo dõi'!$B$2:$B$601,"Q18")-COUNTIFS('Theo dõi'!$A$2:$A$601,$A32,'Theo dõi'!$D$2:$D$601,"Google AI Overview",'Theo dõi'!$B$2:$B$601,"Q19")-COUNTIFS('Theo dõi'!$A$2:$A$601,$A32,'Theo dõi'!$D$2:$D$601,"Google AI Overview",'Theo dõi'!$B$2:$B$601,"Q20"))=0,"",(COUNTIFS('Theo dõi'!$A$2:$A$601,$A32,'Theo dõi'!$D$2:$D$601,"Google AI Overview",'Theo dõi'!$G$2:$G$601,"Có")-COUNTIFS('Theo dõi'!$A$2:$A$601,$A32,'Theo dõi'!$D$2:$D$601,"Google AI Overview",'Theo dõi'!$G$2:$G$601,"Có",'Theo dõi'!$B$2:$B$601,"Q18")-COUNTIFS('Theo dõi'!$A$2:$A$601,$A32,'Theo dõi'!$D$2:$D$601,"Google AI Overview",'Theo dõi'!$G$2:$G$601,"Có",'Theo dõi'!$B$2:$B$601,"Q19")-COUNTIFS('Theo dõi'!$A$2:$A$601,$A32,'Theo dõi'!$D$2:$D$601,"Google AI Overview",'Theo dõi'!$G$2:$G$601,"Có",'Theo dõi'!$B$2:$B$601,"Q20"))/(COUNTIFS('Theo dõi'!$A$2:$A$601,$A32,'Theo dõi'!$D$2:$D$601,"Google AI Overview")-COUNTIFS('Theo dõi'!$A$2:$A$601,$A32,'Theo dõi'!$D$2:$D$601,"Google AI Overview",'Theo dõi'!$B$2:$B$601,"Q18")-COUNTIFS('Theo dõi'!$A$2:$A$601,$A32,'Theo dõi'!$D$2:$D$601,"Google AI Overview",'Theo dõi'!$B$2:$B$601,"Q19")-COUNTIFS('Theo dõi'!$A$2:$A$601,$A32,'Theo dõi'!$D$2:$D$601,"Google AI Overview",'Theo dõi'!$B$2:$B$601,"Q20")))</f>
        <v/>
      </c>
      <c r="G32" s="16" t="str">
        <f aca="false">IF((COUNTIFS('Theo dõi'!$A$2:$A$601,$A32,'Theo dõi'!$D$2:$D$601,"Copilot")-COUNTIFS('Theo dõi'!$A$2:$A$601,$A32,'Theo dõi'!$D$2:$D$601,"Copilot",'Theo dõi'!$B$2:$B$601,"Q18")-COUNTIFS('Theo dõi'!$A$2:$A$601,$A32,'Theo dõi'!$D$2:$D$601,"Copilot",'Theo dõi'!$B$2:$B$601,"Q19")-COUNTIFS('Theo dõi'!$A$2:$A$601,$A32,'Theo dõi'!$D$2:$D$601,"Copilot",'Theo dõi'!$B$2:$B$601,"Q20"))=0,"",(COUNTIFS('Theo dõi'!$A$2:$A$601,$A32,'Theo dõi'!$D$2:$D$601,"Copilot",'Theo dõi'!$G$2:$G$601,"Có")-COUNTIFS('Theo dõi'!$A$2:$A$601,$A32,'Theo dõi'!$D$2:$D$601,"Copilot",'Theo dõi'!$G$2:$G$601,"Có",'Theo dõi'!$B$2:$B$601,"Q18")-COUNTIFS('Theo dõi'!$A$2:$A$601,$A32,'Theo dõi'!$D$2:$D$601,"Copilot",'Theo dõi'!$G$2:$G$601,"Có",'Theo dõi'!$B$2:$B$601,"Q19")-COUNTIFS('Theo dõi'!$A$2:$A$601,$A32,'Theo dõi'!$D$2:$D$601,"Copilot",'Theo dõi'!$G$2:$G$601,"Có",'Theo dõi'!$B$2:$B$601,"Q20"))/(COUNTIFS('Theo dõi'!$A$2:$A$601,$A32,'Theo dõi'!$D$2:$D$601,"Copilot")-COUNTIFS('Theo dõi'!$A$2:$A$601,$A32,'Theo dõi'!$D$2:$D$601,"Copilot",'Theo dõi'!$B$2:$B$601,"Q18")-COUNTIFS('Theo dõi'!$A$2:$A$601,$A32,'Theo dõi'!$D$2:$D$601,"Copilot",'Theo dõi'!$B$2:$B$601,"Q19")-COUNTIFS('Theo dõi'!$A$2:$A$601,$A32,'Theo dõi'!$D$2:$D$601,"Copilot",'Theo dõi'!$B$2:$B$601,"Q20")))</f>
        <v/>
      </c>
      <c r="H32" s="17" t="str">
        <f aca="false">IF((COUNTIFS('Theo dõi'!$A$2:$A$601,$A32,'Theo dõi'!$D$2:$D$601,"&lt;&gt;")-COUNTIFS('Theo dõi'!$A$2:$A$601,$A32,'Theo dõi'!$D$2:$D$601,"&lt;&gt;",'Theo dõi'!$B$2:$B$601,"Q18")-COUNTIFS('Theo dõi'!$A$2:$A$601,$A32,'Theo dõi'!$D$2:$D$601,"&lt;&gt;",'Theo dõi'!$B$2:$B$601,"Q19")-COUNTIFS('Theo dõi'!$A$2:$A$601,$A32,'Theo dõi'!$D$2:$D$601,"&lt;&gt;",'Theo dõi'!$B$2:$B$601,"Q20"))=0,"",(COUNTIFS('Theo dõi'!$A$2:$A$601,$A32,'Theo dõi'!$D$2:$D$601,"&lt;&gt;",'Theo dõi'!$G$2:$G$601,"Có")-COUNTIFS('Theo dõi'!$A$2:$A$601,$A32,'Theo dõi'!$D$2:$D$601,"&lt;&gt;",'Theo dõi'!$G$2:$G$601,"Có",'Theo dõi'!$B$2:$B$601,"Q18")-COUNTIFS('Theo dõi'!$A$2:$A$601,$A32,'Theo dõi'!$D$2:$D$601,"&lt;&gt;",'Theo dõi'!$G$2:$G$601,"Có",'Theo dõi'!$B$2:$B$601,"Q19")-COUNTIFS('Theo dõi'!$A$2:$A$601,$A32,'Theo dõi'!$D$2:$D$601,"&lt;&gt;",'Theo dõi'!$G$2:$G$601,"Có",'Theo dõi'!$B$2:$B$601,"Q20"))/(COUNTIFS('Theo dõi'!$A$2:$A$601,$A32,'Theo dõi'!$D$2:$D$601,"&lt;&gt;")-COUNTIFS('Theo dõi'!$A$2:$A$601,$A32,'Theo dõi'!$D$2:$D$601,"&lt;&gt;",'Theo dõi'!$B$2:$B$601,"Q18")-COUNTIFS('Theo dõi'!$A$2:$A$601,$A32,'Theo dõi'!$D$2:$D$601,"&lt;&gt;",'Theo dõi'!$B$2:$B$601,"Q19")-COUNTIFS('Theo dõi'!$A$2:$A$601,$A32,'Theo dõi'!$D$2:$D$601,"&lt;&gt;",'Theo dõi'!$B$2:$B$601,"Q20")))</f>
        <v/>
      </c>
    </row>
    <row r="33" customFormat="false" ht="15" hidden="false" customHeight="false" outlineLevel="0" collapsed="false">
      <c r="A33" s="14" t="s">
        <v>136</v>
      </c>
      <c r="B33" s="15" t="n">
        <f aca="false">COUNTIFS('Theo dõi'!$A$2:$A$601,$A33,'Theo dõi'!$D$2:$D$601,"&lt;&gt;")-COUNTIFS('Theo dõi'!$A$2:$A$601,$A33,'Theo dõi'!$D$2:$D$601,"&lt;&gt;",'Theo dõi'!$B$2:$B$601,"Q18")-COUNTIFS('Theo dõi'!$A$2:$A$601,$A33,'Theo dõi'!$D$2:$D$601,"&lt;&gt;",'Theo dõi'!$B$2:$B$601,"Q19")-COUNTIFS('Theo dõi'!$A$2:$A$601,$A33,'Theo dõi'!$D$2:$D$601,"&lt;&gt;",'Theo dõi'!$B$2:$B$601,"Q20")</f>
        <v>0</v>
      </c>
      <c r="C33" s="16" t="str">
        <f aca="false">IF((COUNTIFS('Theo dõi'!$A$2:$A$601,$A33,'Theo dõi'!$D$2:$D$601,"ChatGPT")-COUNTIFS('Theo dõi'!$A$2:$A$601,$A33,'Theo dõi'!$D$2:$D$601,"ChatGPT",'Theo dõi'!$B$2:$B$601,"Q18")-COUNTIFS('Theo dõi'!$A$2:$A$601,$A33,'Theo dõi'!$D$2:$D$601,"ChatGPT",'Theo dõi'!$B$2:$B$601,"Q19")-COUNTIFS('Theo dõi'!$A$2:$A$601,$A33,'Theo dõi'!$D$2:$D$601,"ChatGPT",'Theo dõi'!$B$2:$B$601,"Q20"))=0,"",(COUNTIFS('Theo dõi'!$A$2:$A$601,$A33,'Theo dõi'!$D$2:$D$601,"ChatGPT",'Theo dõi'!$G$2:$G$601,"Có")-COUNTIFS('Theo dõi'!$A$2:$A$601,$A33,'Theo dõi'!$D$2:$D$601,"ChatGPT",'Theo dõi'!$G$2:$G$601,"Có",'Theo dõi'!$B$2:$B$601,"Q18")-COUNTIFS('Theo dõi'!$A$2:$A$601,$A33,'Theo dõi'!$D$2:$D$601,"ChatGPT",'Theo dõi'!$G$2:$G$601,"Có",'Theo dõi'!$B$2:$B$601,"Q19")-COUNTIFS('Theo dõi'!$A$2:$A$601,$A33,'Theo dõi'!$D$2:$D$601,"ChatGPT",'Theo dõi'!$G$2:$G$601,"Có",'Theo dõi'!$B$2:$B$601,"Q20"))/(COUNTIFS('Theo dõi'!$A$2:$A$601,$A33,'Theo dõi'!$D$2:$D$601,"ChatGPT")-COUNTIFS('Theo dõi'!$A$2:$A$601,$A33,'Theo dõi'!$D$2:$D$601,"ChatGPT",'Theo dõi'!$B$2:$B$601,"Q18")-COUNTIFS('Theo dõi'!$A$2:$A$601,$A33,'Theo dõi'!$D$2:$D$601,"ChatGPT",'Theo dõi'!$B$2:$B$601,"Q19")-COUNTIFS('Theo dõi'!$A$2:$A$601,$A33,'Theo dõi'!$D$2:$D$601,"ChatGPT",'Theo dõi'!$B$2:$B$601,"Q20")))</f>
        <v/>
      </c>
      <c r="D33" s="16" t="str">
        <f aca="false">IF((COUNTIFS('Theo dõi'!$A$2:$A$601,$A33,'Theo dõi'!$D$2:$D$601,"Perplexity")-COUNTIFS('Theo dõi'!$A$2:$A$601,$A33,'Theo dõi'!$D$2:$D$601,"Perplexity",'Theo dõi'!$B$2:$B$601,"Q18")-COUNTIFS('Theo dõi'!$A$2:$A$601,$A33,'Theo dõi'!$D$2:$D$601,"Perplexity",'Theo dõi'!$B$2:$B$601,"Q19")-COUNTIFS('Theo dõi'!$A$2:$A$601,$A33,'Theo dõi'!$D$2:$D$601,"Perplexity",'Theo dõi'!$B$2:$B$601,"Q20"))=0,"",(COUNTIFS('Theo dõi'!$A$2:$A$601,$A33,'Theo dõi'!$D$2:$D$601,"Perplexity",'Theo dõi'!$G$2:$G$601,"Có")-COUNTIFS('Theo dõi'!$A$2:$A$601,$A33,'Theo dõi'!$D$2:$D$601,"Perplexity",'Theo dõi'!$G$2:$G$601,"Có",'Theo dõi'!$B$2:$B$601,"Q18")-COUNTIFS('Theo dõi'!$A$2:$A$601,$A33,'Theo dõi'!$D$2:$D$601,"Perplexity",'Theo dõi'!$G$2:$G$601,"Có",'Theo dõi'!$B$2:$B$601,"Q19")-COUNTIFS('Theo dõi'!$A$2:$A$601,$A33,'Theo dõi'!$D$2:$D$601,"Perplexity",'Theo dõi'!$G$2:$G$601,"Có",'Theo dõi'!$B$2:$B$601,"Q20"))/(COUNTIFS('Theo dõi'!$A$2:$A$601,$A33,'Theo dõi'!$D$2:$D$601,"Perplexity")-COUNTIFS('Theo dõi'!$A$2:$A$601,$A33,'Theo dõi'!$D$2:$D$601,"Perplexity",'Theo dõi'!$B$2:$B$601,"Q18")-COUNTIFS('Theo dõi'!$A$2:$A$601,$A33,'Theo dõi'!$D$2:$D$601,"Perplexity",'Theo dõi'!$B$2:$B$601,"Q19")-COUNTIFS('Theo dõi'!$A$2:$A$601,$A33,'Theo dõi'!$D$2:$D$601,"Perplexity",'Theo dõi'!$B$2:$B$601,"Q20")))</f>
        <v/>
      </c>
      <c r="E33" s="16" t="str">
        <f aca="false">IF((COUNTIFS('Theo dõi'!$A$2:$A$601,$A33,'Theo dõi'!$D$2:$D$601,"Gemini")-COUNTIFS('Theo dõi'!$A$2:$A$601,$A33,'Theo dõi'!$D$2:$D$601,"Gemini",'Theo dõi'!$B$2:$B$601,"Q18")-COUNTIFS('Theo dõi'!$A$2:$A$601,$A33,'Theo dõi'!$D$2:$D$601,"Gemini",'Theo dõi'!$B$2:$B$601,"Q19")-COUNTIFS('Theo dõi'!$A$2:$A$601,$A33,'Theo dõi'!$D$2:$D$601,"Gemini",'Theo dõi'!$B$2:$B$601,"Q20"))=0,"",(COUNTIFS('Theo dõi'!$A$2:$A$601,$A33,'Theo dõi'!$D$2:$D$601,"Gemini",'Theo dõi'!$G$2:$G$601,"Có")-COUNTIFS('Theo dõi'!$A$2:$A$601,$A33,'Theo dõi'!$D$2:$D$601,"Gemini",'Theo dõi'!$G$2:$G$601,"Có",'Theo dõi'!$B$2:$B$601,"Q18")-COUNTIFS('Theo dõi'!$A$2:$A$601,$A33,'Theo dõi'!$D$2:$D$601,"Gemini",'Theo dõi'!$G$2:$G$601,"Có",'Theo dõi'!$B$2:$B$601,"Q19")-COUNTIFS('Theo dõi'!$A$2:$A$601,$A33,'Theo dõi'!$D$2:$D$601,"Gemini",'Theo dõi'!$G$2:$G$601,"Có",'Theo dõi'!$B$2:$B$601,"Q20"))/(COUNTIFS('Theo dõi'!$A$2:$A$601,$A33,'Theo dõi'!$D$2:$D$601,"Gemini")-COUNTIFS('Theo dõi'!$A$2:$A$601,$A33,'Theo dõi'!$D$2:$D$601,"Gemini",'Theo dõi'!$B$2:$B$601,"Q18")-COUNTIFS('Theo dõi'!$A$2:$A$601,$A33,'Theo dõi'!$D$2:$D$601,"Gemini",'Theo dõi'!$B$2:$B$601,"Q19")-COUNTIFS('Theo dõi'!$A$2:$A$601,$A33,'Theo dõi'!$D$2:$D$601,"Gemini",'Theo dõi'!$B$2:$B$601,"Q20")))</f>
        <v/>
      </c>
      <c r="F33" s="16" t="str">
        <f aca="false">IF((COUNTIFS('Theo dõi'!$A$2:$A$601,$A33,'Theo dõi'!$D$2:$D$601,"Google AI Overview")-COUNTIFS('Theo dõi'!$A$2:$A$601,$A33,'Theo dõi'!$D$2:$D$601,"Google AI Overview",'Theo dõi'!$B$2:$B$601,"Q18")-COUNTIFS('Theo dõi'!$A$2:$A$601,$A33,'Theo dõi'!$D$2:$D$601,"Google AI Overview",'Theo dõi'!$B$2:$B$601,"Q19")-COUNTIFS('Theo dõi'!$A$2:$A$601,$A33,'Theo dõi'!$D$2:$D$601,"Google AI Overview",'Theo dõi'!$B$2:$B$601,"Q20"))=0,"",(COUNTIFS('Theo dõi'!$A$2:$A$601,$A33,'Theo dõi'!$D$2:$D$601,"Google AI Overview",'Theo dõi'!$G$2:$G$601,"Có")-COUNTIFS('Theo dõi'!$A$2:$A$601,$A33,'Theo dõi'!$D$2:$D$601,"Google AI Overview",'Theo dõi'!$G$2:$G$601,"Có",'Theo dõi'!$B$2:$B$601,"Q18")-COUNTIFS('Theo dõi'!$A$2:$A$601,$A33,'Theo dõi'!$D$2:$D$601,"Google AI Overview",'Theo dõi'!$G$2:$G$601,"Có",'Theo dõi'!$B$2:$B$601,"Q19")-COUNTIFS('Theo dõi'!$A$2:$A$601,$A33,'Theo dõi'!$D$2:$D$601,"Google AI Overview",'Theo dõi'!$G$2:$G$601,"Có",'Theo dõi'!$B$2:$B$601,"Q20"))/(COUNTIFS('Theo dõi'!$A$2:$A$601,$A33,'Theo dõi'!$D$2:$D$601,"Google AI Overview")-COUNTIFS('Theo dõi'!$A$2:$A$601,$A33,'Theo dõi'!$D$2:$D$601,"Google AI Overview",'Theo dõi'!$B$2:$B$601,"Q18")-COUNTIFS('Theo dõi'!$A$2:$A$601,$A33,'Theo dõi'!$D$2:$D$601,"Google AI Overview",'Theo dõi'!$B$2:$B$601,"Q19")-COUNTIFS('Theo dõi'!$A$2:$A$601,$A33,'Theo dõi'!$D$2:$D$601,"Google AI Overview",'Theo dõi'!$B$2:$B$601,"Q20")))</f>
        <v/>
      </c>
      <c r="G33" s="16" t="str">
        <f aca="false">IF((COUNTIFS('Theo dõi'!$A$2:$A$601,$A33,'Theo dõi'!$D$2:$D$601,"Copilot")-COUNTIFS('Theo dõi'!$A$2:$A$601,$A33,'Theo dõi'!$D$2:$D$601,"Copilot",'Theo dõi'!$B$2:$B$601,"Q18")-COUNTIFS('Theo dõi'!$A$2:$A$601,$A33,'Theo dõi'!$D$2:$D$601,"Copilot",'Theo dõi'!$B$2:$B$601,"Q19")-COUNTIFS('Theo dõi'!$A$2:$A$601,$A33,'Theo dõi'!$D$2:$D$601,"Copilot",'Theo dõi'!$B$2:$B$601,"Q20"))=0,"",(COUNTIFS('Theo dõi'!$A$2:$A$601,$A33,'Theo dõi'!$D$2:$D$601,"Copilot",'Theo dõi'!$G$2:$G$601,"Có")-COUNTIFS('Theo dõi'!$A$2:$A$601,$A33,'Theo dõi'!$D$2:$D$601,"Copilot",'Theo dõi'!$G$2:$G$601,"Có",'Theo dõi'!$B$2:$B$601,"Q18")-COUNTIFS('Theo dõi'!$A$2:$A$601,$A33,'Theo dõi'!$D$2:$D$601,"Copilot",'Theo dõi'!$G$2:$G$601,"Có",'Theo dõi'!$B$2:$B$601,"Q19")-COUNTIFS('Theo dõi'!$A$2:$A$601,$A33,'Theo dõi'!$D$2:$D$601,"Copilot",'Theo dõi'!$G$2:$G$601,"Có",'Theo dõi'!$B$2:$B$601,"Q20"))/(COUNTIFS('Theo dõi'!$A$2:$A$601,$A33,'Theo dõi'!$D$2:$D$601,"Copilot")-COUNTIFS('Theo dõi'!$A$2:$A$601,$A33,'Theo dõi'!$D$2:$D$601,"Copilot",'Theo dõi'!$B$2:$B$601,"Q18")-COUNTIFS('Theo dõi'!$A$2:$A$601,$A33,'Theo dõi'!$D$2:$D$601,"Copilot",'Theo dõi'!$B$2:$B$601,"Q19")-COUNTIFS('Theo dõi'!$A$2:$A$601,$A33,'Theo dõi'!$D$2:$D$601,"Copilot",'Theo dõi'!$B$2:$B$601,"Q20")))</f>
        <v/>
      </c>
      <c r="H33" s="17" t="str">
        <f aca="false">IF((COUNTIFS('Theo dõi'!$A$2:$A$601,$A33,'Theo dõi'!$D$2:$D$601,"&lt;&gt;")-COUNTIFS('Theo dõi'!$A$2:$A$601,$A33,'Theo dõi'!$D$2:$D$601,"&lt;&gt;",'Theo dõi'!$B$2:$B$601,"Q18")-COUNTIFS('Theo dõi'!$A$2:$A$601,$A33,'Theo dõi'!$D$2:$D$601,"&lt;&gt;",'Theo dõi'!$B$2:$B$601,"Q19")-COUNTIFS('Theo dõi'!$A$2:$A$601,$A33,'Theo dõi'!$D$2:$D$601,"&lt;&gt;",'Theo dõi'!$B$2:$B$601,"Q20"))=0,"",(COUNTIFS('Theo dõi'!$A$2:$A$601,$A33,'Theo dõi'!$D$2:$D$601,"&lt;&gt;",'Theo dõi'!$G$2:$G$601,"Có")-COUNTIFS('Theo dõi'!$A$2:$A$601,$A33,'Theo dõi'!$D$2:$D$601,"&lt;&gt;",'Theo dõi'!$G$2:$G$601,"Có",'Theo dõi'!$B$2:$B$601,"Q18")-COUNTIFS('Theo dõi'!$A$2:$A$601,$A33,'Theo dõi'!$D$2:$D$601,"&lt;&gt;",'Theo dõi'!$G$2:$G$601,"Có",'Theo dõi'!$B$2:$B$601,"Q19")-COUNTIFS('Theo dõi'!$A$2:$A$601,$A33,'Theo dõi'!$D$2:$D$601,"&lt;&gt;",'Theo dõi'!$G$2:$G$601,"Có",'Theo dõi'!$B$2:$B$601,"Q20"))/(COUNTIFS('Theo dõi'!$A$2:$A$601,$A33,'Theo dõi'!$D$2:$D$601,"&lt;&gt;")-COUNTIFS('Theo dõi'!$A$2:$A$601,$A33,'Theo dõi'!$D$2:$D$601,"&lt;&gt;",'Theo dõi'!$B$2:$B$601,"Q18")-COUNTIFS('Theo dõi'!$A$2:$A$601,$A33,'Theo dõi'!$D$2:$D$601,"&lt;&gt;",'Theo dõi'!$B$2:$B$601,"Q19")-COUNTIFS('Theo dõi'!$A$2:$A$601,$A33,'Theo dõi'!$D$2:$D$601,"&lt;&gt;",'Theo dõi'!$B$2:$B$601,"Q20")))</f>
        <v/>
      </c>
    </row>
    <row r="34" customFormat="false" ht="15" hidden="false" customHeight="false" outlineLevel="0" collapsed="false">
      <c r="A34" s="14" t="s">
        <v>137</v>
      </c>
      <c r="B34" s="15" t="n">
        <f aca="false">COUNTIFS('Theo dõi'!$A$2:$A$601,$A34,'Theo dõi'!$D$2:$D$601,"&lt;&gt;")-COUNTIFS('Theo dõi'!$A$2:$A$601,$A34,'Theo dõi'!$D$2:$D$601,"&lt;&gt;",'Theo dõi'!$B$2:$B$601,"Q18")-COUNTIFS('Theo dõi'!$A$2:$A$601,$A34,'Theo dõi'!$D$2:$D$601,"&lt;&gt;",'Theo dõi'!$B$2:$B$601,"Q19")-COUNTIFS('Theo dõi'!$A$2:$A$601,$A34,'Theo dõi'!$D$2:$D$601,"&lt;&gt;",'Theo dõi'!$B$2:$B$601,"Q20")</f>
        <v>0</v>
      </c>
      <c r="C34" s="16" t="str">
        <f aca="false">IF((COUNTIFS('Theo dõi'!$A$2:$A$601,$A34,'Theo dõi'!$D$2:$D$601,"ChatGPT")-COUNTIFS('Theo dõi'!$A$2:$A$601,$A34,'Theo dõi'!$D$2:$D$601,"ChatGPT",'Theo dõi'!$B$2:$B$601,"Q18")-COUNTIFS('Theo dõi'!$A$2:$A$601,$A34,'Theo dõi'!$D$2:$D$601,"ChatGPT",'Theo dõi'!$B$2:$B$601,"Q19")-COUNTIFS('Theo dõi'!$A$2:$A$601,$A34,'Theo dõi'!$D$2:$D$601,"ChatGPT",'Theo dõi'!$B$2:$B$601,"Q20"))=0,"",(COUNTIFS('Theo dõi'!$A$2:$A$601,$A34,'Theo dõi'!$D$2:$D$601,"ChatGPT",'Theo dõi'!$G$2:$G$601,"Có")-COUNTIFS('Theo dõi'!$A$2:$A$601,$A34,'Theo dõi'!$D$2:$D$601,"ChatGPT",'Theo dõi'!$G$2:$G$601,"Có",'Theo dõi'!$B$2:$B$601,"Q18")-COUNTIFS('Theo dõi'!$A$2:$A$601,$A34,'Theo dõi'!$D$2:$D$601,"ChatGPT",'Theo dõi'!$G$2:$G$601,"Có",'Theo dõi'!$B$2:$B$601,"Q19")-COUNTIFS('Theo dõi'!$A$2:$A$601,$A34,'Theo dõi'!$D$2:$D$601,"ChatGPT",'Theo dõi'!$G$2:$G$601,"Có",'Theo dõi'!$B$2:$B$601,"Q20"))/(COUNTIFS('Theo dõi'!$A$2:$A$601,$A34,'Theo dõi'!$D$2:$D$601,"ChatGPT")-COUNTIFS('Theo dõi'!$A$2:$A$601,$A34,'Theo dõi'!$D$2:$D$601,"ChatGPT",'Theo dõi'!$B$2:$B$601,"Q18")-COUNTIFS('Theo dõi'!$A$2:$A$601,$A34,'Theo dõi'!$D$2:$D$601,"ChatGPT",'Theo dõi'!$B$2:$B$601,"Q19")-COUNTIFS('Theo dõi'!$A$2:$A$601,$A34,'Theo dõi'!$D$2:$D$601,"ChatGPT",'Theo dõi'!$B$2:$B$601,"Q20")))</f>
        <v/>
      </c>
      <c r="D34" s="16" t="str">
        <f aca="false">IF((COUNTIFS('Theo dõi'!$A$2:$A$601,$A34,'Theo dõi'!$D$2:$D$601,"Perplexity")-COUNTIFS('Theo dõi'!$A$2:$A$601,$A34,'Theo dõi'!$D$2:$D$601,"Perplexity",'Theo dõi'!$B$2:$B$601,"Q18")-COUNTIFS('Theo dõi'!$A$2:$A$601,$A34,'Theo dõi'!$D$2:$D$601,"Perplexity",'Theo dõi'!$B$2:$B$601,"Q19")-COUNTIFS('Theo dõi'!$A$2:$A$601,$A34,'Theo dõi'!$D$2:$D$601,"Perplexity",'Theo dõi'!$B$2:$B$601,"Q20"))=0,"",(COUNTIFS('Theo dõi'!$A$2:$A$601,$A34,'Theo dõi'!$D$2:$D$601,"Perplexity",'Theo dõi'!$G$2:$G$601,"Có")-COUNTIFS('Theo dõi'!$A$2:$A$601,$A34,'Theo dõi'!$D$2:$D$601,"Perplexity",'Theo dõi'!$G$2:$G$601,"Có",'Theo dõi'!$B$2:$B$601,"Q18")-COUNTIFS('Theo dõi'!$A$2:$A$601,$A34,'Theo dõi'!$D$2:$D$601,"Perplexity",'Theo dõi'!$G$2:$G$601,"Có",'Theo dõi'!$B$2:$B$601,"Q19")-COUNTIFS('Theo dõi'!$A$2:$A$601,$A34,'Theo dõi'!$D$2:$D$601,"Perplexity",'Theo dõi'!$G$2:$G$601,"Có",'Theo dõi'!$B$2:$B$601,"Q20"))/(COUNTIFS('Theo dõi'!$A$2:$A$601,$A34,'Theo dõi'!$D$2:$D$601,"Perplexity")-COUNTIFS('Theo dõi'!$A$2:$A$601,$A34,'Theo dõi'!$D$2:$D$601,"Perplexity",'Theo dõi'!$B$2:$B$601,"Q18")-COUNTIFS('Theo dõi'!$A$2:$A$601,$A34,'Theo dõi'!$D$2:$D$601,"Perplexity",'Theo dõi'!$B$2:$B$601,"Q19")-COUNTIFS('Theo dõi'!$A$2:$A$601,$A34,'Theo dõi'!$D$2:$D$601,"Perplexity",'Theo dõi'!$B$2:$B$601,"Q20")))</f>
        <v/>
      </c>
      <c r="E34" s="16" t="str">
        <f aca="false">IF((COUNTIFS('Theo dõi'!$A$2:$A$601,$A34,'Theo dõi'!$D$2:$D$601,"Gemini")-COUNTIFS('Theo dõi'!$A$2:$A$601,$A34,'Theo dõi'!$D$2:$D$601,"Gemini",'Theo dõi'!$B$2:$B$601,"Q18")-COUNTIFS('Theo dõi'!$A$2:$A$601,$A34,'Theo dõi'!$D$2:$D$601,"Gemini",'Theo dõi'!$B$2:$B$601,"Q19")-COUNTIFS('Theo dõi'!$A$2:$A$601,$A34,'Theo dõi'!$D$2:$D$601,"Gemini",'Theo dõi'!$B$2:$B$601,"Q20"))=0,"",(COUNTIFS('Theo dõi'!$A$2:$A$601,$A34,'Theo dõi'!$D$2:$D$601,"Gemini",'Theo dõi'!$G$2:$G$601,"Có")-COUNTIFS('Theo dõi'!$A$2:$A$601,$A34,'Theo dõi'!$D$2:$D$601,"Gemini",'Theo dõi'!$G$2:$G$601,"Có",'Theo dõi'!$B$2:$B$601,"Q18")-COUNTIFS('Theo dõi'!$A$2:$A$601,$A34,'Theo dõi'!$D$2:$D$601,"Gemini",'Theo dõi'!$G$2:$G$601,"Có",'Theo dõi'!$B$2:$B$601,"Q19")-COUNTIFS('Theo dõi'!$A$2:$A$601,$A34,'Theo dõi'!$D$2:$D$601,"Gemini",'Theo dõi'!$G$2:$G$601,"Có",'Theo dõi'!$B$2:$B$601,"Q20"))/(COUNTIFS('Theo dõi'!$A$2:$A$601,$A34,'Theo dõi'!$D$2:$D$601,"Gemini")-COUNTIFS('Theo dõi'!$A$2:$A$601,$A34,'Theo dõi'!$D$2:$D$601,"Gemini",'Theo dõi'!$B$2:$B$601,"Q18")-COUNTIFS('Theo dõi'!$A$2:$A$601,$A34,'Theo dõi'!$D$2:$D$601,"Gemini",'Theo dõi'!$B$2:$B$601,"Q19")-COUNTIFS('Theo dõi'!$A$2:$A$601,$A34,'Theo dõi'!$D$2:$D$601,"Gemini",'Theo dõi'!$B$2:$B$601,"Q20")))</f>
        <v/>
      </c>
      <c r="F34" s="16" t="str">
        <f aca="false">IF((COUNTIFS('Theo dõi'!$A$2:$A$601,$A34,'Theo dõi'!$D$2:$D$601,"Google AI Overview")-COUNTIFS('Theo dõi'!$A$2:$A$601,$A34,'Theo dõi'!$D$2:$D$601,"Google AI Overview",'Theo dõi'!$B$2:$B$601,"Q18")-COUNTIFS('Theo dõi'!$A$2:$A$601,$A34,'Theo dõi'!$D$2:$D$601,"Google AI Overview",'Theo dõi'!$B$2:$B$601,"Q19")-COUNTIFS('Theo dõi'!$A$2:$A$601,$A34,'Theo dõi'!$D$2:$D$601,"Google AI Overview",'Theo dõi'!$B$2:$B$601,"Q20"))=0,"",(COUNTIFS('Theo dõi'!$A$2:$A$601,$A34,'Theo dõi'!$D$2:$D$601,"Google AI Overview",'Theo dõi'!$G$2:$G$601,"Có")-COUNTIFS('Theo dõi'!$A$2:$A$601,$A34,'Theo dõi'!$D$2:$D$601,"Google AI Overview",'Theo dõi'!$G$2:$G$601,"Có",'Theo dõi'!$B$2:$B$601,"Q18")-COUNTIFS('Theo dõi'!$A$2:$A$601,$A34,'Theo dõi'!$D$2:$D$601,"Google AI Overview",'Theo dõi'!$G$2:$G$601,"Có",'Theo dõi'!$B$2:$B$601,"Q19")-COUNTIFS('Theo dõi'!$A$2:$A$601,$A34,'Theo dõi'!$D$2:$D$601,"Google AI Overview",'Theo dõi'!$G$2:$G$601,"Có",'Theo dõi'!$B$2:$B$601,"Q20"))/(COUNTIFS('Theo dõi'!$A$2:$A$601,$A34,'Theo dõi'!$D$2:$D$601,"Google AI Overview")-COUNTIFS('Theo dõi'!$A$2:$A$601,$A34,'Theo dõi'!$D$2:$D$601,"Google AI Overview",'Theo dõi'!$B$2:$B$601,"Q18")-COUNTIFS('Theo dõi'!$A$2:$A$601,$A34,'Theo dõi'!$D$2:$D$601,"Google AI Overview",'Theo dõi'!$B$2:$B$601,"Q19")-COUNTIFS('Theo dõi'!$A$2:$A$601,$A34,'Theo dõi'!$D$2:$D$601,"Google AI Overview",'Theo dõi'!$B$2:$B$601,"Q20")))</f>
        <v/>
      </c>
      <c r="G34" s="16" t="str">
        <f aca="false">IF((COUNTIFS('Theo dõi'!$A$2:$A$601,$A34,'Theo dõi'!$D$2:$D$601,"Copilot")-COUNTIFS('Theo dõi'!$A$2:$A$601,$A34,'Theo dõi'!$D$2:$D$601,"Copilot",'Theo dõi'!$B$2:$B$601,"Q18")-COUNTIFS('Theo dõi'!$A$2:$A$601,$A34,'Theo dõi'!$D$2:$D$601,"Copilot",'Theo dõi'!$B$2:$B$601,"Q19")-COUNTIFS('Theo dõi'!$A$2:$A$601,$A34,'Theo dõi'!$D$2:$D$601,"Copilot",'Theo dõi'!$B$2:$B$601,"Q20"))=0,"",(COUNTIFS('Theo dõi'!$A$2:$A$601,$A34,'Theo dõi'!$D$2:$D$601,"Copilot",'Theo dõi'!$G$2:$G$601,"Có")-COUNTIFS('Theo dõi'!$A$2:$A$601,$A34,'Theo dõi'!$D$2:$D$601,"Copilot",'Theo dõi'!$G$2:$G$601,"Có",'Theo dõi'!$B$2:$B$601,"Q18")-COUNTIFS('Theo dõi'!$A$2:$A$601,$A34,'Theo dõi'!$D$2:$D$601,"Copilot",'Theo dõi'!$G$2:$G$601,"Có",'Theo dõi'!$B$2:$B$601,"Q19")-COUNTIFS('Theo dõi'!$A$2:$A$601,$A34,'Theo dõi'!$D$2:$D$601,"Copilot",'Theo dõi'!$G$2:$G$601,"Có",'Theo dõi'!$B$2:$B$601,"Q20"))/(COUNTIFS('Theo dõi'!$A$2:$A$601,$A34,'Theo dõi'!$D$2:$D$601,"Copilot")-COUNTIFS('Theo dõi'!$A$2:$A$601,$A34,'Theo dõi'!$D$2:$D$601,"Copilot",'Theo dõi'!$B$2:$B$601,"Q18")-COUNTIFS('Theo dõi'!$A$2:$A$601,$A34,'Theo dõi'!$D$2:$D$601,"Copilot",'Theo dõi'!$B$2:$B$601,"Q19")-COUNTIFS('Theo dõi'!$A$2:$A$601,$A34,'Theo dõi'!$D$2:$D$601,"Copilot",'Theo dõi'!$B$2:$B$601,"Q20")))</f>
        <v/>
      </c>
      <c r="H34" s="17" t="str">
        <f aca="false">IF((COUNTIFS('Theo dõi'!$A$2:$A$601,$A34,'Theo dõi'!$D$2:$D$601,"&lt;&gt;")-COUNTIFS('Theo dõi'!$A$2:$A$601,$A34,'Theo dõi'!$D$2:$D$601,"&lt;&gt;",'Theo dõi'!$B$2:$B$601,"Q18")-COUNTIFS('Theo dõi'!$A$2:$A$601,$A34,'Theo dõi'!$D$2:$D$601,"&lt;&gt;",'Theo dõi'!$B$2:$B$601,"Q19")-COUNTIFS('Theo dõi'!$A$2:$A$601,$A34,'Theo dõi'!$D$2:$D$601,"&lt;&gt;",'Theo dõi'!$B$2:$B$601,"Q20"))=0,"",(COUNTIFS('Theo dõi'!$A$2:$A$601,$A34,'Theo dõi'!$D$2:$D$601,"&lt;&gt;",'Theo dõi'!$G$2:$G$601,"Có")-COUNTIFS('Theo dõi'!$A$2:$A$601,$A34,'Theo dõi'!$D$2:$D$601,"&lt;&gt;",'Theo dõi'!$G$2:$G$601,"Có",'Theo dõi'!$B$2:$B$601,"Q18")-COUNTIFS('Theo dõi'!$A$2:$A$601,$A34,'Theo dõi'!$D$2:$D$601,"&lt;&gt;",'Theo dõi'!$G$2:$G$601,"Có",'Theo dõi'!$B$2:$B$601,"Q19")-COUNTIFS('Theo dõi'!$A$2:$A$601,$A34,'Theo dõi'!$D$2:$D$601,"&lt;&gt;",'Theo dõi'!$G$2:$G$601,"Có",'Theo dõi'!$B$2:$B$601,"Q20"))/(COUNTIFS('Theo dõi'!$A$2:$A$601,$A34,'Theo dõi'!$D$2:$D$601,"&lt;&gt;")-COUNTIFS('Theo dõi'!$A$2:$A$601,$A34,'Theo dõi'!$D$2:$D$601,"&lt;&gt;",'Theo dõi'!$B$2:$B$601,"Q18")-COUNTIFS('Theo dõi'!$A$2:$A$601,$A34,'Theo dõi'!$D$2:$D$601,"&lt;&gt;",'Theo dõi'!$B$2:$B$601,"Q19")-COUNTIFS('Theo dõi'!$A$2:$A$601,$A34,'Theo dõi'!$D$2:$D$601,"&lt;&gt;",'Theo dõi'!$B$2:$B$601,"Q20")))</f>
        <v/>
      </c>
    </row>
    <row r="35" customFormat="false" ht="15" hidden="false" customHeight="false" outlineLevel="0" collapsed="false">
      <c r="A35" s="14" t="s">
        <v>138</v>
      </c>
      <c r="B35" s="15" t="n">
        <f aca="false">COUNTIFS('Theo dõi'!$A$2:$A$601,$A35,'Theo dõi'!$D$2:$D$601,"&lt;&gt;")-COUNTIFS('Theo dõi'!$A$2:$A$601,$A35,'Theo dõi'!$D$2:$D$601,"&lt;&gt;",'Theo dõi'!$B$2:$B$601,"Q18")-COUNTIFS('Theo dõi'!$A$2:$A$601,$A35,'Theo dõi'!$D$2:$D$601,"&lt;&gt;",'Theo dõi'!$B$2:$B$601,"Q19")-COUNTIFS('Theo dõi'!$A$2:$A$601,$A35,'Theo dõi'!$D$2:$D$601,"&lt;&gt;",'Theo dõi'!$B$2:$B$601,"Q20")</f>
        <v>0</v>
      </c>
      <c r="C35" s="16" t="str">
        <f aca="false">IF((COUNTIFS('Theo dõi'!$A$2:$A$601,$A35,'Theo dõi'!$D$2:$D$601,"ChatGPT")-COUNTIFS('Theo dõi'!$A$2:$A$601,$A35,'Theo dõi'!$D$2:$D$601,"ChatGPT",'Theo dõi'!$B$2:$B$601,"Q18")-COUNTIFS('Theo dõi'!$A$2:$A$601,$A35,'Theo dõi'!$D$2:$D$601,"ChatGPT",'Theo dõi'!$B$2:$B$601,"Q19")-COUNTIFS('Theo dõi'!$A$2:$A$601,$A35,'Theo dõi'!$D$2:$D$601,"ChatGPT",'Theo dõi'!$B$2:$B$601,"Q20"))=0,"",(COUNTIFS('Theo dõi'!$A$2:$A$601,$A35,'Theo dõi'!$D$2:$D$601,"ChatGPT",'Theo dõi'!$G$2:$G$601,"Có")-COUNTIFS('Theo dõi'!$A$2:$A$601,$A35,'Theo dõi'!$D$2:$D$601,"ChatGPT",'Theo dõi'!$G$2:$G$601,"Có",'Theo dõi'!$B$2:$B$601,"Q18")-COUNTIFS('Theo dõi'!$A$2:$A$601,$A35,'Theo dõi'!$D$2:$D$601,"ChatGPT",'Theo dõi'!$G$2:$G$601,"Có",'Theo dõi'!$B$2:$B$601,"Q19")-COUNTIFS('Theo dõi'!$A$2:$A$601,$A35,'Theo dõi'!$D$2:$D$601,"ChatGPT",'Theo dõi'!$G$2:$G$601,"Có",'Theo dõi'!$B$2:$B$601,"Q20"))/(COUNTIFS('Theo dõi'!$A$2:$A$601,$A35,'Theo dõi'!$D$2:$D$601,"ChatGPT")-COUNTIFS('Theo dõi'!$A$2:$A$601,$A35,'Theo dõi'!$D$2:$D$601,"ChatGPT",'Theo dõi'!$B$2:$B$601,"Q18")-COUNTIFS('Theo dõi'!$A$2:$A$601,$A35,'Theo dõi'!$D$2:$D$601,"ChatGPT",'Theo dõi'!$B$2:$B$601,"Q19")-COUNTIFS('Theo dõi'!$A$2:$A$601,$A35,'Theo dõi'!$D$2:$D$601,"ChatGPT",'Theo dõi'!$B$2:$B$601,"Q20")))</f>
        <v/>
      </c>
      <c r="D35" s="16" t="str">
        <f aca="false">IF((COUNTIFS('Theo dõi'!$A$2:$A$601,$A35,'Theo dõi'!$D$2:$D$601,"Perplexity")-COUNTIFS('Theo dõi'!$A$2:$A$601,$A35,'Theo dõi'!$D$2:$D$601,"Perplexity",'Theo dõi'!$B$2:$B$601,"Q18")-COUNTIFS('Theo dõi'!$A$2:$A$601,$A35,'Theo dõi'!$D$2:$D$601,"Perplexity",'Theo dõi'!$B$2:$B$601,"Q19")-COUNTIFS('Theo dõi'!$A$2:$A$601,$A35,'Theo dõi'!$D$2:$D$601,"Perplexity",'Theo dõi'!$B$2:$B$601,"Q20"))=0,"",(COUNTIFS('Theo dõi'!$A$2:$A$601,$A35,'Theo dõi'!$D$2:$D$601,"Perplexity",'Theo dõi'!$G$2:$G$601,"Có")-COUNTIFS('Theo dõi'!$A$2:$A$601,$A35,'Theo dõi'!$D$2:$D$601,"Perplexity",'Theo dõi'!$G$2:$G$601,"Có",'Theo dõi'!$B$2:$B$601,"Q18")-COUNTIFS('Theo dõi'!$A$2:$A$601,$A35,'Theo dõi'!$D$2:$D$601,"Perplexity",'Theo dõi'!$G$2:$G$601,"Có",'Theo dõi'!$B$2:$B$601,"Q19")-COUNTIFS('Theo dõi'!$A$2:$A$601,$A35,'Theo dõi'!$D$2:$D$601,"Perplexity",'Theo dõi'!$G$2:$G$601,"Có",'Theo dõi'!$B$2:$B$601,"Q20"))/(COUNTIFS('Theo dõi'!$A$2:$A$601,$A35,'Theo dõi'!$D$2:$D$601,"Perplexity")-COUNTIFS('Theo dõi'!$A$2:$A$601,$A35,'Theo dõi'!$D$2:$D$601,"Perplexity",'Theo dõi'!$B$2:$B$601,"Q18")-COUNTIFS('Theo dõi'!$A$2:$A$601,$A35,'Theo dõi'!$D$2:$D$601,"Perplexity",'Theo dõi'!$B$2:$B$601,"Q19")-COUNTIFS('Theo dõi'!$A$2:$A$601,$A35,'Theo dõi'!$D$2:$D$601,"Perplexity",'Theo dõi'!$B$2:$B$601,"Q20")))</f>
        <v/>
      </c>
      <c r="E35" s="16" t="str">
        <f aca="false">IF((COUNTIFS('Theo dõi'!$A$2:$A$601,$A35,'Theo dõi'!$D$2:$D$601,"Gemini")-COUNTIFS('Theo dõi'!$A$2:$A$601,$A35,'Theo dõi'!$D$2:$D$601,"Gemini",'Theo dõi'!$B$2:$B$601,"Q18")-COUNTIFS('Theo dõi'!$A$2:$A$601,$A35,'Theo dõi'!$D$2:$D$601,"Gemini",'Theo dõi'!$B$2:$B$601,"Q19")-COUNTIFS('Theo dõi'!$A$2:$A$601,$A35,'Theo dõi'!$D$2:$D$601,"Gemini",'Theo dõi'!$B$2:$B$601,"Q20"))=0,"",(COUNTIFS('Theo dõi'!$A$2:$A$601,$A35,'Theo dõi'!$D$2:$D$601,"Gemini",'Theo dõi'!$G$2:$G$601,"Có")-COUNTIFS('Theo dõi'!$A$2:$A$601,$A35,'Theo dõi'!$D$2:$D$601,"Gemini",'Theo dõi'!$G$2:$G$601,"Có",'Theo dõi'!$B$2:$B$601,"Q18")-COUNTIFS('Theo dõi'!$A$2:$A$601,$A35,'Theo dõi'!$D$2:$D$601,"Gemini",'Theo dõi'!$G$2:$G$601,"Có",'Theo dõi'!$B$2:$B$601,"Q19")-COUNTIFS('Theo dõi'!$A$2:$A$601,$A35,'Theo dõi'!$D$2:$D$601,"Gemini",'Theo dõi'!$G$2:$G$601,"Có",'Theo dõi'!$B$2:$B$601,"Q20"))/(COUNTIFS('Theo dõi'!$A$2:$A$601,$A35,'Theo dõi'!$D$2:$D$601,"Gemini")-COUNTIFS('Theo dõi'!$A$2:$A$601,$A35,'Theo dõi'!$D$2:$D$601,"Gemini",'Theo dõi'!$B$2:$B$601,"Q18")-COUNTIFS('Theo dõi'!$A$2:$A$601,$A35,'Theo dõi'!$D$2:$D$601,"Gemini",'Theo dõi'!$B$2:$B$601,"Q19")-COUNTIFS('Theo dõi'!$A$2:$A$601,$A35,'Theo dõi'!$D$2:$D$601,"Gemini",'Theo dõi'!$B$2:$B$601,"Q20")))</f>
        <v/>
      </c>
      <c r="F35" s="16" t="str">
        <f aca="false">IF((COUNTIFS('Theo dõi'!$A$2:$A$601,$A35,'Theo dõi'!$D$2:$D$601,"Google AI Overview")-COUNTIFS('Theo dõi'!$A$2:$A$601,$A35,'Theo dõi'!$D$2:$D$601,"Google AI Overview",'Theo dõi'!$B$2:$B$601,"Q18")-COUNTIFS('Theo dõi'!$A$2:$A$601,$A35,'Theo dõi'!$D$2:$D$601,"Google AI Overview",'Theo dõi'!$B$2:$B$601,"Q19")-COUNTIFS('Theo dõi'!$A$2:$A$601,$A35,'Theo dõi'!$D$2:$D$601,"Google AI Overview",'Theo dõi'!$B$2:$B$601,"Q20"))=0,"",(COUNTIFS('Theo dõi'!$A$2:$A$601,$A35,'Theo dõi'!$D$2:$D$601,"Google AI Overview",'Theo dõi'!$G$2:$G$601,"Có")-COUNTIFS('Theo dõi'!$A$2:$A$601,$A35,'Theo dõi'!$D$2:$D$601,"Google AI Overview",'Theo dõi'!$G$2:$G$601,"Có",'Theo dõi'!$B$2:$B$601,"Q18")-COUNTIFS('Theo dõi'!$A$2:$A$601,$A35,'Theo dõi'!$D$2:$D$601,"Google AI Overview",'Theo dõi'!$G$2:$G$601,"Có",'Theo dõi'!$B$2:$B$601,"Q19")-COUNTIFS('Theo dõi'!$A$2:$A$601,$A35,'Theo dõi'!$D$2:$D$601,"Google AI Overview",'Theo dõi'!$G$2:$G$601,"Có",'Theo dõi'!$B$2:$B$601,"Q20"))/(COUNTIFS('Theo dõi'!$A$2:$A$601,$A35,'Theo dõi'!$D$2:$D$601,"Google AI Overview")-COUNTIFS('Theo dõi'!$A$2:$A$601,$A35,'Theo dõi'!$D$2:$D$601,"Google AI Overview",'Theo dõi'!$B$2:$B$601,"Q18")-COUNTIFS('Theo dõi'!$A$2:$A$601,$A35,'Theo dõi'!$D$2:$D$601,"Google AI Overview",'Theo dõi'!$B$2:$B$601,"Q19")-COUNTIFS('Theo dõi'!$A$2:$A$601,$A35,'Theo dõi'!$D$2:$D$601,"Google AI Overview",'Theo dõi'!$B$2:$B$601,"Q20")))</f>
        <v/>
      </c>
      <c r="G35" s="16" t="str">
        <f aca="false">IF((COUNTIFS('Theo dõi'!$A$2:$A$601,$A35,'Theo dõi'!$D$2:$D$601,"Copilot")-COUNTIFS('Theo dõi'!$A$2:$A$601,$A35,'Theo dõi'!$D$2:$D$601,"Copilot",'Theo dõi'!$B$2:$B$601,"Q18")-COUNTIFS('Theo dõi'!$A$2:$A$601,$A35,'Theo dõi'!$D$2:$D$601,"Copilot",'Theo dõi'!$B$2:$B$601,"Q19")-COUNTIFS('Theo dõi'!$A$2:$A$601,$A35,'Theo dõi'!$D$2:$D$601,"Copilot",'Theo dõi'!$B$2:$B$601,"Q20"))=0,"",(COUNTIFS('Theo dõi'!$A$2:$A$601,$A35,'Theo dõi'!$D$2:$D$601,"Copilot",'Theo dõi'!$G$2:$G$601,"Có")-COUNTIFS('Theo dõi'!$A$2:$A$601,$A35,'Theo dõi'!$D$2:$D$601,"Copilot",'Theo dõi'!$G$2:$G$601,"Có",'Theo dõi'!$B$2:$B$601,"Q18")-COUNTIFS('Theo dõi'!$A$2:$A$601,$A35,'Theo dõi'!$D$2:$D$601,"Copilot",'Theo dõi'!$G$2:$G$601,"Có",'Theo dõi'!$B$2:$B$601,"Q19")-COUNTIFS('Theo dõi'!$A$2:$A$601,$A35,'Theo dõi'!$D$2:$D$601,"Copilot",'Theo dõi'!$G$2:$G$601,"Có",'Theo dõi'!$B$2:$B$601,"Q20"))/(COUNTIFS('Theo dõi'!$A$2:$A$601,$A35,'Theo dõi'!$D$2:$D$601,"Copilot")-COUNTIFS('Theo dõi'!$A$2:$A$601,$A35,'Theo dõi'!$D$2:$D$601,"Copilot",'Theo dõi'!$B$2:$B$601,"Q18")-COUNTIFS('Theo dõi'!$A$2:$A$601,$A35,'Theo dõi'!$D$2:$D$601,"Copilot",'Theo dõi'!$B$2:$B$601,"Q19")-COUNTIFS('Theo dõi'!$A$2:$A$601,$A35,'Theo dõi'!$D$2:$D$601,"Copilot",'Theo dõi'!$B$2:$B$601,"Q20")))</f>
        <v/>
      </c>
      <c r="H35" s="17" t="str">
        <f aca="false">IF((COUNTIFS('Theo dõi'!$A$2:$A$601,$A35,'Theo dõi'!$D$2:$D$601,"&lt;&gt;")-COUNTIFS('Theo dõi'!$A$2:$A$601,$A35,'Theo dõi'!$D$2:$D$601,"&lt;&gt;",'Theo dõi'!$B$2:$B$601,"Q18")-COUNTIFS('Theo dõi'!$A$2:$A$601,$A35,'Theo dõi'!$D$2:$D$601,"&lt;&gt;",'Theo dõi'!$B$2:$B$601,"Q19")-COUNTIFS('Theo dõi'!$A$2:$A$601,$A35,'Theo dõi'!$D$2:$D$601,"&lt;&gt;",'Theo dõi'!$B$2:$B$601,"Q20"))=0,"",(COUNTIFS('Theo dõi'!$A$2:$A$601,$A35,'Theo dõi'!$D$2:$D$601,"&lt;&gt;",'Theo dõi'!$G$2:$G$601,"Có")-COUNTIFS('Theo dõi'!$A$2:$A$601,$A35,'Theo dõi'!$D$2:$D$601,"&lt;&gt;",'Theo dõi'!$G$2:$G$601,"Có",'Theo dõi'!$B$2:$B$601,"Q18")-COUNTIFS('Theo dõi'!$A$2:$A$601,$A35,'Theo dõi'!$D$2:$D$601,"&lt;&gt;",'Theo dõi'!$G$2:$G$601,"Có",'Theo dõi'!$B$2:$B$601,"Q19")-COUNTIFS('Theo dõi'!$A$2:$A$601,$A35,'Theo dõi'!$D$2:$D$601,"&lt;&gt;",'Theo dõi'!$G$2:$G$601,"Có",'Theo dõi'!$B$2:$B$601,"Q20"))/(COUNTIFS('Theo dõi'!$A$2:$A$601,$A35,'Theo dõi'!$D$2:$D$601,"&lt;&gt;")-COUNTIFS('Theo dõi'!$A$2:$A$601,$A35,'Theo dõi'!$D$2:$D$601,"&lt;&gt;",'Theo dõi'!$B$2:$B$601,"Q18")-COUNTIFS('Theo dõi'!$A$2:$A$601,$A35,'Theo dõi'!$D$2:$D$601,"&lt;&gt;",'Theo dõi'!$B$2:$B$601,"Q19")-COUNTIFS('Theo dõi'!$A$2:$A$601,$A35,'Theo dõi'!$D$2:$D$601,"&lt;&gt;",'Theo dõi'!$B$2:$B$601,"Q20")))</f>
        <v/>
      </c>
    </row>
    <row r="36" customFormat="false" ht="15" hidden="false" customHeight="false" outlineLevel="0" collapsed="false">
      <c r="A36" s="14" t="s">
        <v>139</v>
      </c>
      <c r="B36" s="15" t="n">
        <f aca="false">COUNTIFS('Theo dõi'!$A$2:$A$601,$A36,'Theo dõi'!$D$2:$D$601,"&lt;&gt;")-COUNTIFS('Theo dõi'!$A$2:$A$601,$A36,'Theo dõi'!$D$2:$D$601,"&lt;&gt;",'Theo dõi'!$B$2:$B$601,"Q18")-COUNTIFS('Theo dõi'!$A$2:$A$601,$A36,'Theo dõi'!$D$2:$D$601,"&lt;&gt;",'Theo dõi'!$B$2:$B$601,"Q19")-COUNTIFS('Theo dõi'!$A$2:$A$601,$A36,'Theo dõi'!$D$2:$D$601,"&lt;&gt;",'Theo dõi'!$B$2:$B$601,"Q20")</f>
        <v>0</v>
      </c>
      <c r="C36" s="16" t="str">
        <f aca="false">IF((COUNTIFS('Theo dõi'!$A$2:$A$601,$A36,'Theo dõi'!$D$2:$D$601,"ChatGPT")-COUNTIFS('Theo dõi'!$A$2:$A$601,$A36,'Theo dõi'!$D$2:$D$601,"ChatGPT",'Theo dõi'!$B$2:$B$601,"Q18")-COUNTIFS('Theo dõi'!$A$2:$A$601,$A36,'Theo dõi'!$D$2:$D$601,"ChatGPT",'Theo dõi'!$B$2:$B$601,"Q19")-COUNTIFS('Theo dõi'!$A$2:$A$601,$A36,'Theo dõi'!$D$2:$D$601,"ChatGPT",'Theo dõi'!$B$2:$B$601,"Q20"))=0,"",(COUNTIFS('Theo dõi'!$A$2:$A$601,$A36,'Theo dõi'!$D$2:$D$601,"ChatGPT",'Theo dõi'!$G$2:$G$601,"Có")-COUNTIFS('Theo dõi'!$A$2:$A$601,$A36,'Theo dõi'!$D$2:$D$601,"ChatGPT",'Theo dõi'!$G$2:$G$601,"Có",'Theo dõi'!$B$2:$B$601,"Q18")-COUNTIFS('Theo dõi'!$A$2:$A$601,$A36,'Theo dõi'!$D$2:$D$601,"ChatGPT",'Theo dõi'!$G$2:$G$601,"Có",'Theo dõi'!$B$2:$B$601,"Q19")-COUNTIFS('Theo dõi'!$A$2:$A$601,$A36,'Theo dõi'!$D$2:$D$601,"ChatGPT",'Theo dõi'!$G$2:$G$601,"Có",'Theo dõi'!$B$2:$B$601,"Q20"))/(COUNTIFS('Theo dõi'!$A$2:$A$601,$A36,'Theo dõi'!$D$2:$D$601,"ChatGPT")-COUNTIFS('Theo dõi'!$A$2:$A$601,$A36,'Theo dõi'!$D$2:$D$601,"ChatGPT",'Theo dõi'!$B$2:$B$601,"Q18")-COUNTIFS('Theo dõi'!$A$2:$A$601,$A36,'Theo dõi'!$D$2:$D$601,"ChatGPT",'Theo dõi'!$B$2:$B$601,"Q19")-COUNTIFS('Theo dõi'!$A$2:$A$601,$A36,'Theo dõi'!$D$2:$D$601,"ChatGPT",'Theo dõi'!$B$2:$B$601,"Q20")))</f>
        <v/>
      </c>
      <c r="D36" s="16" t="str">
        <f aca="false">IF((COUNTIFS('Theo dõi'!$A$2:$A$601,$A36,'Theo dõi'!$D$2:$D$601,"Perplexity")-COUNTIFS('Theo dõi'!$A$2:$A$601,$A36,'Theo dõi'!$D$2:$D$601,"Perplexity",'Theo dõi'!$B$2:$B$601,"Q18")-COUNTIFS('Theo dõi'!$A$2:$A$601,$A36,'Theo dõi'!$D$2:$D$601,"Perplexity",'Theo dõi'!$B$2:$B$601,"Q19")-COUNTIFS('Theo dõi'!$A$2:$A$601,$A36,'Theo dõi'!$D$2:$D$601,"Perplexity",'Theo dõi'!$B$2:$B$601,"Q20"))=0,"",(COUNTIFS('Theo dõi'!$A$2:$A$601,$A36,'Theo dõi'!$D$2:$D$601,"Perplexity",'Theo dõi'!$G$2:$G$601,"Có")-COUNTIFS('Theo dõi'!$A$2:$A$601,$A36,'Theo dõi'!$D$2:$D$601,"Perplexity",'Theo dõi'!$G$2:$G$601,"Có",'Theo dõi'!$B$2:$B$601,"Q18")-COUNTIFS('Theo dõi'!$A$2:$A$601,$A36,'Theo dõi'!$D$2:$D$601,"Perplexity",'Theo dõi'!$G$2:$G$601,"Có",'Theo dõi'!$B$2:$B$601,"Q19")-COUNTIFS('Theo dõi'!$A$2:$A$601,$A36,'Theo dõi'!$D$2:$D$601,"Perplexity",'Theo dõi'!$G$2:$G$601,"Có",'Theo dõi'!$B$2:$B$601,"Q20"))/(COUNTIFS('Theo dõi'!$A$2:$A$601,$A36,'Theo dõi'!$D$2:$D$601,"Perplexity")-COUNTIFS('Theo dõi'!$A$2:$A$601,$A36,'Theo dõi'!$D$2:$D$601,"Perplexity",'Theo dõi'!$B$2:$B$601,"Q18")-COUNTIFS('Theo dõi'!$A$2:$A$601,$A36,'Theo dõi'!$D$2:$D$601,"Perplexity",'Theo dõi'!$B$2:$B$601,"Q19")-COUNTIFS('Theo dõi'!$A$2:$A$601,$A36,'Theo dõi'!$D$2:$D$601,"Perplexity",'Theo dõi'!$B$2:$B$601,"Q20")))</f>
        <v/>
      </c>
      <c r="E36" s="16" t="str">
        <f aca="false">IF((COUNTIFS('Theo dõi'!$A$2:$A$601,$A36,'Theo dõi'!$D$2:$D$601,"Gemini")-COUNTIFS('Theo dõi'!$A$2:$A$601,$A36,'Theo dõi'!$D$2:$D$601,"Gemini",'Theo dõi'!$B$2:$B$601,"Q18")-COUNTIFS('Theo dõi'!$A$2:$A$601,$A36,'Theo dõi'!$D$2:$D$601,"Gemini",'Theo dõi'!$B$2:$B$601,"Q19")-COUNTIFS('Theo dõi'!$A$2:$A$601,$A36,'Theo dõi'!$D$2:$D$601,"Gemini",'Theo dõi'!$B$2:$B$601,"Q20"))=0,"",(COUNTIFS('Theo dõi'!$A$2:$A$601,$A36,'Theo dõi'!$D$2:$D$601,"Gemini",'Theo dõi'!$G$2:$G$601,"Có")-COUNTIFS('Theo dõi'!$A$2:$A$601,$A36,'Theo dõi'!$D$2:$D$601,"Gemini",'Theo dõi'!$G$2:$G$601,"Có",'Theo dõi'!$B$2:$B$601,"Q18")-COUNTIFS('Theo dõi'!$A$2:$A$601,$A36,'Theo dõi'!$D$2:$D$601,"Gemini",'Theo dõi'!$G$2:$G$601,"Có",'Theo dõi'!$B$2:$B$601,"Q19")-COUNTIFS('Theo dõi'!$A$2:$A$601,$A36,'Theo dõi'!$D$2:$D$601,"Gemini",'Theo dõi'!$G$2:$G$601,"Có",'Theo dõi'!$B$2:$B$601,"Q20"))/(COUNTIFS('Theo dõi'!$A$2:$A$601,$A36,'Theo dõi'!$D$2:$D$601,"Gemini")-COUNTIFS('Theo dõi'!$A$2:$A$601,$A36,'Theo dõi'!$D$2:$D$601,"Gemini",'Theo dõi'!$B$2:$B$601,"Q18")-COUNTIFS('Theo dõi'!$A$2:$A$601,$A36,'Theo dõi'!$D$2:$D$601,"Gemini",'Theo dõi'!$B$2:$B$601,"Q19")-COUNTIFS('Theo dõi'!$A$2:$A$601,$A36,'Theo dõi'!$D$2:$D$601,"Gemini",'Theo dõi'!$B$2:$B$601,"Q20")))</f>
        <v/>
      </c>
      <c r="F36" s="16" t="str">
        <f aca="false">IF((COUNTIFS('Theo dõi'!$A$2:$A$601,$A36,'Theo dõi'!$D$2:$D$601,"Google AI Overview")-COUNTIFS('Theo dõi'!$A$2:$A$601,$A36,'Theo dõi'!$D$2:$D$601,"Google AI Overview",'Theo dõi'!$B$2:$B$601,"Q18")-COUNTIFS('Theo dõi'!$A$2:$A$601,$A36,'Theo dõi'!$D$2:$D$601,"Google AI Overview",'Theo dõi'!$B$2:$B$601,"Q19")-COUNTIFS('Theo dõi'!$A$2:$A$601,$A36,'Theo dõi'!$D$2:$D$601,"Google AI Overview",'Theo dõi'!$B$2:$B$601,"Q20"))=0,"",(COUNTIFS('Theo dõi'!$A$2:$A$601,$A36,'Theo dõi'!$D$2:$D$601,"Google AI Overview",'Theo dõi'!$G$2:$G$601,"Có")-COUNTIFS('Theo dõi'!$A$2:$A$601,$A36,'Theo dõi'!$D$2:$D$601,"Google AI Overview",'Theo dõi'!$G$2:$G$601,"Có",'Theo dõi'!$B$2:$B$601,"Q18")-COUNTIFS('Theo dõi'!$A$2:$A$601,$A36,'Theo dõi'!$D$2:$D$601,"Google AI Overview",'Theo dõi'!$G$2:$G$601,"Có",'Theo dõi'!$B$2:$B$601,"Q19")-COUNTIFS('Theo dõi'!$A$2:$A$601,$A36,'Theo dõi'!$D$2:$D$601,"Google AI Overview",'Theo dõi'!$G$2:$G$601,"Có",'Theo dõi'!$B$2:$B$601,"Q20"))/(COUNTIFS('Theo dõi'!$A$2:$A$601,$A36,'Theo dõi'!$D$2:$D$601,"Google AI Overview")-COUNTIFS('Theo dõi'!$A$2:$A$601,$A36,'Theo dõi'!$D$2:$D$601,"Google AI Overview",'Theo dõi'!$B$2:$B$601,"Q18")-COUNTIFS('Theo dõi'!$A$2:$A$601,$A36,'Theo dõi'!$D$2:$D$601,"Google AI Overview",'Theo dõi'!$B$2:$B$601,"Q19")-COUNTIFS('Theo dõi'!$A$2:$A$601,$A36,'Theo dõi'!$D$2:$D$601,"Google AI Overview",'Theo dõi'!$B$2:$B$601,"Q20")))</f>
        <v/>
      </c>
      <c r="G36" s="16" t="str">
        <f aca="false">IF((COUNTIFS('Theo dõi'!$A$2:$A$601,$A36,'Theo dõi'!$D$2:$D$601,"Copilot")-COUNTIFS('Theo dõi'!$A$2:$A$601,$A36,'Theo dõi'!$D$2:$D$601,"Copilot",'Theo dõi'!$B$2:$B$601,"Q18")-COUNTIFS('Theo dõi'!$A$2:$A$601,$A36,'Theo dõi'!$D$2:$D$601,"Copilot",'Theo dõi'!$B$2:$B$601,"Q19")-COUNTIFS('Theo dõi'!$A$2:$A$601,$A36,'Theo dõi'!$D$2:$D$601,"Copilot",'Theo dõi'!$B$2:$B$601,"Q20"))=0,"",(COUNTIFS('Theo dõi'!$A$2:$A$601,$A36,'Theo dõi'!$D$2:$D$601,"Copilot",'Theo dõi'!$G$2:$G$601,"Có")-COUNTIFS('Theo dõi'!$A$2:$A$601,$A36,'Theo dõi'!$D$2:$D$601,"Copilot",'Theo dõi'!$G$2:$G$601,"Có",'Theo dõi'!$B$2:$B$601,"Q18")-COUNTIFS('Theo dõi'!$A$2:$A$601,$A36,'Theo dõi'!$D$2:$D$601,"Copilot",'Theo dõi'!$G$2:$G$601,"Có",'Theo dõi'!$B$2:$B$601,"Q19")-COUNTIFS('Theo dõi'!$A$2:$A$601,$A36,'Theo dõi'!$D$2:$D$601,"Copilot",'Theo dõi'!$G$2:$G$601,"Có",'Theo dõi'!$B$2:$B$601,"Q20"))/(COUNTIFS('Theo dõi'!$A$2:$A$601,$A36,'Theo dõi'!$D$2:$D$601,"Copilot")-COUNTIFS('Theo dõi'!$A$2:$A$601,$A36,'Theo dõi'!$D$2:$D$601,"Copilot",'Theo dõi'!$B$2:$B$601,"Q18")-COUNTIFS('Theo dõi'!$A$2:$A$601,$A36,'Theo dõi'!$D$2:$D$601,"Copilot",'Theo dõi'!$B$2:$B$601,"Q19")-COUNTIFS('Theo dõi'!$A$2:$A$601,$A36,'Theo dõi'!$D$2:$D$601,"Copilot",'Theo dõi'!$B$2:$B$601,"Q20")))</f>
        <v/>
      </c>
      <c r="H36" s="17" t="str">
        <f aca="false">IF((COUNTIFS('Theo dõi'!$A$2:$A$601,$A36,'Theo dõi'!$D$2:$D$601,"&lt;&gt;")-COUNTIFS('Theo dõi'!$A$2:$A$601,$A36,'Theo dõi'!$D$2:$D$601,"&lt;&gt;",'Theo dõi'!$B$2:$B$601,"Q18")-COUNTIFS('Theo dõi'!$A$2:$A$601,$A36,'Theo dõi'!$D$2:$D$601,"&lt;&gt;",'Theo dõi'!$B$2:$B$601,"Q19")-COUNTIFS('Theo dõi'!$A$2:$A$601,$A36,'Theo dõi'!$D$2:$D$601,"&lt;&gt;",'Theo dõi'!$B$2:$B$601,"Q20"))=0,"",(COUNTIFS('Theo dõi'!$A$2:$A$601,$A36,'Theo dõi'!$D$2:$D$601,"&lt;&gt;",'Theo dõi'!$G$2:$G$601,"Có")-COUNTIFS('Theo dõi'!$A$2:$A$601,$A36,'Theo dõi'!$D$2:$D$601,"&lt;&gt;",'Theo dõi'!$G$2:$G$601,"Có",'Theo dõi'!$B$2:$B$601,"Q18")-COUNTIFS('Theo dõi'!$A$2:$A$601,$A36,'Theo dõi'!$D$2:$D$601,"&lt;&gt;",'Theo dõi'!$G$2:$G$601,"Có",'Theo dõi'!$B$2:$B$601,"Q19")-COUNTIFS('Theo dõi'!$A$2:$A$601,$A36,'Theo dõi'!$D$2:$D$601,"&lt;&gt;",'Theo dõi'!$G$2:$G$601,"Có",'Theo dõi'!$B$2:$B$601,"Q20"))/(COUNTIFS('Theo dõi'!$A$2:$A$601,$A36,'Theo dõi'!$D$2:$D$601,"&lt;&gt;")-COUNTIFS('Theo dõi'!$A$2:$A$601,$A36,'Theo dõi'!$D$2:$D$601,"&lt;&gt;",'Theo dõi'!$B$2:$B$601,"Q18")-COUNTIFS('Theo dõi'!$A$2:$A$601,$A36,'Theo dõi'!$D$2:$D$601,"&lt;&gt;",'Theo dõi'!$B$2:$B$601,"Q19")-COUNTIFS('Theo dõi'!$A$2:$A$601,$A36,'Theo dõi'!$D$2:$D$601,"&lt;&gt;",'Theo dõi'!$B$2:$B$601,"Q20")))</f>
        <v/>
      </c>
    </row>
    <row r="37" customFormat="false" ht="15" hidden="false" customHeight="false" outlineLevel="0" collapsed="false">
      <c r="A37" s="14" t="s">
        <v>140</v>
      </c>
      <c r="B37" s="15" t="n">
        <f aca="false">COUNTIFS('Theo dõi'!$A$2:$A$601,$A37,'Theo dõi'!$D$2:$D$601,"&lt;&gt;")-COUNTIFS('Theo dõi'!$A$2:$A$601,$A37,'Theo dõi'!$D$2:$D$601,"&lt;&gt;",'Theo dõi'!$B$2:$B$601,"Q18")-COUNTIFS('Theo dõi'!$A$2:$A$601,$A37,'Theo dõi'!$D$2:$D$601,"&lt;&gt;",'Theo dõi'!$B$2:$B$601,"Q19")-COUNTIFS('Theo dõi'!$A$2:$A$601,$A37,'Theo dõi'!$D$2:$D$601,"&lt;&gt;",'Theo dõi'!$B$2:$B$601,"Q20")</f>
        <v>0</v>
      </c>
      <c r="C37" s="16" t="str">
        <f aca="false">IF((COUNTIFS('Theo dõi'!$A$2:$A$601,$A37,'Theo dõi'!$D$2:$D$601,"ChatGPT")-COUNTIFS('Theo dõi'!$A$2:$A$601,$A37,'Theo dõi'!$D$2:$D$601,"ChatGPT",'Theo dõi'!$B$2:$B$601,"Q18")-COUNTIFS('Theo dõi'!$A$2:$A$601,$A37,'Theo dõi'!$D$2:$D$601,"ChatGPT",'Theo dõi'!$B$2:$B$601,"Q19")-COUNTIFS('Theo dõi'!$A$2:$A$601,$A37,'Theo dõi'!$D$2:$D$601,"ChatGPT",'Theo dõi'!$B$2:$B$601,"Q20"))=0,"",(COUNTIFS('Theo dõi'!$A$2:$A$601,$A37,'Theo dõi'!$D$2:$D$601,"ChatGPT",'Theo dõi'!$G$2:$G$601,"Có")-COUNTIFS('Theo dõi'!$A$2:$A$601,$A37,'Theo dõi'!$D$2:$D$601,"ChatGPT",'Theo dõi'!$G$2:$G$601,"Có",'Theo dõi'!$B$2:$B$601,"Q18")-COUNTIFS('Theo dõi'!$A$2:$A$601,$A37,'Theo dõi'!$D$2:$D$601,"ChatGPT",'Theo dõi'!$G$2:$G$601,"Có",'Theo dõi'!$B$2:$B$601,"Q19")-COUNTIFS('Theo dõi'!$A$2:$A$601,$A37,'Theo dõi'!$D$2:$D$601,"ChatGPT",'Theo dõi'!$G$2:$G$601,"Có",'Theo dõi'!$B$2:$B$601,"Q20"))/(COUNTIFS('Theo dõi'!$A$2:$A$601,$A37,'Theo dõi'!$D$2:$D$601,"ChatGPT")-COUNTIFS('Theo dõi'!$A$2:$A$601,$A37,'Theo dõi'!$D$2:$D$601,"ChatGPT",'Theo dõi'!$B$2:$B$601,"Q18")-COUNTIFS('Theo dõi'!$A$2:$A$601,$A37,'Theo dõi'!$D$2:$D$601,"ChatGPT",'Theo dõi'!$B$2:$B$601,"Q19")-COUNTIFS('Theo dõi'!$A$2:$A$601,$A37,'Theo dõi'!$D$2:$D$601,"ChatGPT",'Theo dõi'!$B$2:$B$601,"Q20")))</f>
        <v/>
      </c>
      <c r="D37" s="16" t="str">
        <f aca="false">IF((COUNTIFS('Theo dõi'!$A$2:$A$601,$A37,'Theo dõi'!$D$2:$D$601,"Perplexity")-COUNTIFS('Theo dõi'!$A$2:$A$601,$A37,'Theo dõi'!$D$2:$D$601,"Perplexity",'Theo dõi'!$B$2:$B$601,"Q18")-COUNTIFS('Theo dõi'!$A$2:$A$601,$A37,'Theo dõi'!$D$2:$D$601,"Perplexity",'Theo dõi'!$B$2:$B$601,"Q19")-COUNTIFS('Theo dõi'!$A$2:$A$601,$A37,'Theo dõi'!$D$2:$D$601,"Perplexity",'Theo dõi'!$B$2:$B$601,"Q20"))=0,"",(COUNTIFS('Theo dõi'!$A$2:$A$601,$A37,'Theo dõi'!$D$2:$D$601,"Perplexity",'Theo dõi'!$G$2:$G$601,"Có")-COUNTIFS('Theo dõi'!$A$2:$A$601,$A37,'Theo dõi'!$D$2:$D$601,"Perplexity",'Theo dõi'!$G$2:$G$601,"Có",'Theo dõi'!$B$2:$B$601,"Q18")-COUNTIFS('Theo dõi'!$A$2:$A$601,$A37,'Theo dõi'!$D$2:$D$601,"Perplexity",'Theo dõi'!$G$2:$G$601,"Có",'Theo dõi'!$B$2:$B$601,"Q19")-COUNTIFS('Theo dõi'!$A$2:$A$601,$A37,'Theo dõi'!$D$2:$D$601,"Perplexity",'Theo dõi'!$G$2:$G$601,"Có",'Theo dõi'!$B$2:$B$601,"Q20"))/(COUNTIFS('Theo dõi'!$A$2:$A$601,$A37,'Theo dõi'!$D$2:$D$601,"Perplexity")-COUNTIFS('Theo dõi'!$A$2:$A$601,$A37,'Theo dõi'!$D$2:$D$601,"Perplexity",'Theo dõi'!$B$2:$B$601,"Q18")-COUNTIFS('Theo dõi'!$A$2:$A$601,$A37,'Theo dõi'!$D$2:$D$601,"Perplexity",'Theo dõi'!$B$2:$B$601,"Q19")-COUNTIFS('Theo dõi'!$A$2:$A$601,$A37,'Theo dõi'!$D$2:$D$601,"Perplexity",'Theo dõi'!$B$2:$B$601,"Q20")))</f>
        <v/>
      </c>
      <c r="E37" s="16" t="str">
        <f aca="false">IF((COUNTIFS('Theo dõi'!$A$2:$A$601,$A37,'Theo dõi'!$D$2:$D$601,"Gemini")-COUNTIFS('Theo dõi'!$A$2:$A$601,$A37,'Theo dõi'!$D$2:$D$601,"Gemini",'Theo dõi'!$B$2:$B$601,"Q18")-COUNTIFS('Theo dõi'!$A$2:$A$601,$A37,'Theo dõi'!$D$2:$D$601,"Gemini",'Theo dõi'!$B$2:$B$601,"Q19")-COUNTIFS('Theo dõi'!$A$2:$A$601,$A37,'Theo dõi'!$D$2:$D$601,"Gemini",'Theo dõi'!$B$2:$B$601,"Q20"))=0,"",(COUNTIFS('Theo dõi'!$A$2:$A$601,$A37,'Theo dõi'!$D$2:$D$601,"Gemini",'Theo dõi'!$G$2:$G$601,"Có")-COUNTIFS('Theo dõi'!$A$2:$A$601,$A37,'Theo dõi'!$D$2:$D$601,"Gemini",'Theo dõi'!$G$2:$G$601,"Có",'Theo dõi'!$B$2:$B$601,"Q18")-COUNTIFS('Theo dõi'!$A$2:$A$601,$A37,'Theo dõi'!$D$2:$D$601,"Gemini",'Theo dõi'!$G$2:$G$601,"Có",'Theo dõi'!$B$2:$B$601,"Q19")-COUNTIFS('Theo dõi'!$A$2:$A$601,$A37,'Theo dõi'!$D$2:$D$601,"Gemini",'Theo dõi'!$G$2:$G$601,"Có",'Theo dõi'!$B$2:$B$601,"Q20"))/(COUNTIFS('Theo dõi'!$A$2:$A$601,$A37,'Theo dõi'!$D$2:$D$601,"Gemini")-COUNTIFS('Theo dõi'!$A$2:$A$601,$A37,'Theo dõi'!$D$2:$D$601,"Gemini",'Theo dõi'!$B$2:$B$601,"Q18")-COUNTIFS('Theo dõi'!$A$2:$A$601,$A37,'Theo dõi'!$D$2:$D$601,"Gemini",'Theo dõi'!$B$2:$B$601,"Q19")-COUNTIFS('Theo dõi'!$A$2:$A$601,$A37,'Theo dõi'!$D$2:$D$601,"Gemini",'Theo dõi'!$B$2:$B$601,"Q20")))</f>
        <v/>
      </c>
      <c r="F37" s="16" t="str">
        <f aca="false">IF((COUNTIFS('Theo dõi'!$A$2:$A$601,$A37,'Theo dõi'!$D$2:$D$601,"Google AI Overview")-COUNTIFS('Theo dõi'!$A$2:$A$601,$A37,'Theo dõi'!$D$2:$D$601,"Google AI Overview",'Theo dõi'!$B$2:$B$601,"Q18")-COUNTIFS('Theo dõi'!$A$2:$A$601,$A37,'Theo dõi'!$D$2:$D$601,"Google AI Overview",'Theo dõi'!$B$2:$B$601,"Q19")-COUNTIFS('Theo dõi'!$A$2:$A$601,$A37,'Theo dõi'!$D$2:$D$601,"Google AI Overview",'Theo dõi'!$B$2:$B$601,"Q20"))=0,"",(COUNTIFS('Theo dõi'!$A$2:$A$601,$A37,'Theo dõi'!$D$2:$D$601,"Google AI Overview",'Theo dõi'!$G$2:$G$601,"Có")-COUNTIFS('Theo dõi'!$A$2:$A$601,$A37,'Theo dõi'!$D$2:$D$601,"Google AI Overview",'Theo dõi'!$G$2:$G$601,"Có",'Theo dõi'!$B$2:$B$601,"Q18")-COUNTIFS('Theo dõi'!$A$2:$A$601,$A37,'Theo dõi'!$D$2:$D$601,"Google AI Overview",'Theo dõi'!$G$2:$G$601,"Có",'Theo dõi'!$B$2:$B$601,"Q19")-COUNTIFS('Theo dõi'!$A$2:$A$601,$A37,'Theo dõi'!$D$2:$D$601,"Google AI Overview",'Theo dõi'!$G$2:$G$601,"Có",'Theo dõi'!$B$2:$B$601,"Q20"))/(COUNTIFS('Theo dõi'!$A$2:$A$601,$A37,'Theo dõi'!$D$2:$D$601,"Google AI Overview")-COUNTIFS('Theo dõi'!$A$2:$A$601,$A37,'Theo dõi'!$D$2:$D$601,"Google AI Overview",'Theo dõi'!$B$2:$B$601,"Q18")-COUNTIFS('Theo dõi'!$A$2:$A$601,$A37,'Theo dõi'!$D$2:$D$601,"Google AI Overview",'Theo dõi'!$B$2:$B$601,"Q19")-COUNTIFS('Theo dõi'!$A$2:$A$601,$A37,'Theo dõi'!$D$2:$D$601,"Google AI Overview",'Theo dõi'!$B$2:$B$601,"Q20")))</f>
        <v/>
      </c>
      <c r="G37" s="16" t="str">
        <f aca="false">IF((COUNTIFS('Theo dõi'!$A$2:$A$601,$A37,'Theo dõi'!$D$2:$D$601,"Copilot")-COUNTIFS('Theo dõi'!$A$2:$A$601,$A37,'Theo dõi'!$D$2:$D$601,"Copilot",'Theo dõi'!$B$2:$B$601,"Q18")-COUNTIFS('Theo dõi'!$A$2:$A$601,$A37,'Theo dõi'!$D$2:$D$601,"Copilot",'Theo dõi'!$B$2:$B$601,"Q19")-COUNTIFS('Theo dõi'!$A$2:$A$601,$A37,'Theo dõi'!$D$2:$D$601,"Copilot",'Theo dõi'!$B$2:$B$601,"Q20"))=0,"",(COUNTIFS('Theo dõi'!$A$2:$A$601,$A37,'Theo dõi'!$D$2:$D$601,"Copilot",'Theo dõi'!$G$2:$G$601,"Có")-COUNTIFS('Theo dõi'!$A$2:$A$601,$A37,'Theo dõi'!$D$2:$D$601,"Copilot",'Theo dõi'!$G$2:$G$601,"Có",'Theo dõi'!$B$2:$B$601,"Q18")-COUNTIFS('Theo dõi'!$A$2:$A$601,$A37,'Theo dõi'!$D$2:$D$601,"Copilot",'Theo dõi'!$G$2:$G$601,"Có",'Theo dõi'!$B$2:$B$601,"Q19")-COUNTIFS('Theo dõi'!$A$2:$A$601,$A37,'Theo dõi'!$D$2:$D$601,"Copilot",'Theo dõi'!$G$2:$G$601,"Có",'Theo dõi'!$B$2:$B$601,"Q20"))/(COUNTIFS('Theo dõi'!$A$2:$A$601,$A37,'Theo dõi'!$D$2:$D$601,"Copilot")-COUNTIFS('Theo dõi'!$A$2:$A$601,$A37,'Theo dõi'!$D$2:$D$601,"Copilot",'Theo dõi'!$B$2:$B$601,"Q18")-COUNTIFS('Theo dõi'!$A$2:$A$601,$A37,'Theo dõi'!$D$2:$D$601,"Copilot",'Theo dõi'!$B$2:$B$601,"Q19")-COUNTIFS('Theo dõi'!$A$2:$A$601,$A37,'Theo dõi'!$D$2:$D$601,"Copilot",'Theo dõi'!$B$2:$B$601,"Q20")))</f>
        <v/>
      </c>
      <c r="H37" s="17" t="str">
        <f aca="false">IF((COUNTIFS('Theo dõi'!$A$2:$A$601,$A37,'Theo dõi'!$D$2:$D$601,"&lt;&gt;")-COUNTIFS('Theo dõi'!$A$2:$A$601,$A37,'Theo dõi'!$D$2:$D$601,"&lt;&gt;",'Theo dõi'!$B$2:$B$601,"Q18")-COUNTIFS('Theo dõi'!$A$2:$A$601,$A37,'Theo dõi'!$D$2:$D$601,"&lt;&gt;",'Theo dõi'!$B$2:$B$601,"Q19")-COUNTIFS('Theo dõi'!$A$2:$A$601,$A37,'Theo dõi'!$D$2:$D$601,"&lt;&gt;",'Theo dõi'!$B$2:$B$601,"Q20"))=0,"",(COUNTIFS('Theo dõi'!$A$2:$A$601,$A37,'Theo dõi'!$D$2:$D$601,"&lt;&gt;",'Theo dõi'!$G$2:$G$601,"Có")-COUNTIFS('Theo dõi'!$A$2:$A$601,$A37,'Theo dõi'!$D$2:$D$601,"&lt;&gt;",'Theo dõi'!$G$2:$G$601,"Có",'Theo dõi'!$B$2:$B$601,"Q18")-COUNTIFS('Theo dõi'!$A$2:$A$601,$A37,'Theo dõi'!$D$2:$D$601,"&lt;&gt;",'Theo dõi'!$G$2:$G$601,"Có",'Theo dõi'!$B$2:$B$601,"Q19")-COUNTIFS('Theo dõi'!$A$2:$A$601,$A37,'Theo dõi'!$D$2:$D$601,"&lt;&gt;",'Theo dõi'!$G$2:$G$601,"Có",'Theo dõi'!$B$2:$B$601,"Q20"))/(COUNTIFS('Theo dõi'!$A$2:$A$601,$A37,'Theo dõi'!$D$2:$D$601,"&lt;&gt;")-COUNTIFS('Theo dõi'!$A$2:$A$601,$A37,'Theo dõi'!$D$2:$D$601,"&lt;&gt;",'Theo dõi'!$B$2:$B$601,"Q18")-COUNTIFS('Theo dõi'!$A$2:$A$601,$A37,'Theo dõi'!$D$2:$D$601,"&lt;&gt;",'Theo dõi'!$B$2:$B$601,"Q19")-COUNTIFS('Theo dõi'!$A$2:$A$601,$A37,'Theo dõi'!$D$2:$D$601,"&lt;&gt;",'Theo dõi'!$B$2:$B$601,"Q20")))</f>
        <v/>
      </c>
    </row>
    <row r="38" customFormat="false" ht="15" hidden="false" customHeight="false" outlineLevel="0" collapsed="false">
      <c r="A38" s="14" t="s">
        <v>141</v>
      </c>
      <c r="B38" s="15" t="n">
        <f aca="false">COUNTIFS('Theo dõi'!$A$2:$A$601,$A38,'Theo dõi'!$D$2:$D$601,"&lt;&gt;")-COUNTIFS('Theo dõi'!$A$2:$A$601,$A38,'Theo dõi'!$D$2:$D$601,"&lt;&gt;",'Theo dõi'!$B$2:$B$601,"Q18")-COUNTIFS('Theo dõi'!$A$2:$A$601,$A38,'Theo dõi'!$D$2:$D$601,"&lt;&gt;",'Theo dõi'!$B$2:$B$601,"Q19")-COUNTIFS('Theo dõi'!$A$2:$A$601,$A38,'Theo dõi'!$D$2:$D$601,"&lt;&gt;",'Theo dõi'!$B$2:$B$601,"Q20")</f>
        <v>0</v>
      </c>
      <c r="C38" s="16" t="str">
        <f aca="false">IF((COUNTIFS('Theo dõi'!$A$2:$A$601,$A38,'Theo dõi'!$D$2:$D$601,"ChatGPT")-COUNTIFS('Theo dõi'!$A$2:$A$601,$A38,'Theo dõi'!$D$2:$D$601,"ChatGPT",'Theo dõi'!$B$2:$B$601,"Q18")-COUNTIFS('Theo dõi'!$A$2:$A$601,$A38,'Theo dõi'!$D$2:$D$601,"ChatGPT",'Theo dõi'!$B$2:$B$601,"Q19")-COUNTIFS('Theo dõi'!$A$2:$A$601,$A38,'Theo dõi'!$D$2:$D$601,"ChatGPT",'Theo dõi'!$B$2:$B$601,"Q20"))=0,"",(COUNTIFS('Theo dõi'!$A$2:$A$601,$A38,'Theo dõi'!$D$2:$D$601,"ChatGPT",'Theo dõi'!$G$2:$G$601,"Có")-COUNTIFS('Theo dõi'!$A$2:$A$601,$A38,'Theo dõi'!$D$2:$D$601,"ChatGPT",'Theo dõi'!$G$2:$G$601,"Có",'Theo dõi'!$B$2:$B$601,"Q18")-COUNTIFS('Theo dõi'!$A$2:$A$601,$A38,'Theo dõi'!$D$2:$D$601,"ChatGPT",'Theo dõi'!$G$2:$G$601,"Có",'Theo dõi'!$B$2:$B$601,"Q19")-COUNTIFS('Theo dõi'!$A$2:$A$601,$A38,'Theo dõi'!$D$2:$D$601,"ChatGPT",'Theo dõi'!$G$2:$G$601,"Có",'Theo dõi'!$B$2:$B$601,"Q20"))/(COUNTIFS('Theo dõi'!$A$2:$A$601,$A38,'Theo dõi'!$D$2:$D$601,"ChatGPT")-COUNTIFS('Theo dõi'!$A$2:$A$601,$A38,'Theo dõi'!$D$2:$D$601,"ChatGPT",'Theo dõi'!$B$2:$B$601,"Q18")-COUNTIFS('Theo dõi'!$A$2:$A$601,$A38,'Theo dõi'!$D$2:$D$601,"ChatGPT",'Theo dõi'!$B$2:$B$601,"Q19")-COUNTIFS('Theo dõi'!$A$2:$A$601,$A38,'Theo dõi'!$D$2:$D$601,"ChatGPT",'Theo dõi'!$B$2:$B$601,"Q20")))</f>
        <v/>
      </c>
      <c r="D38" s="16" t="str">
        <f aca="false">IF((COUNTIFS('Theo dõi'!$A$2:$A$601,$A38,'Theo dõi'!$D$2:$D$601,"Perplexity")-COUNTIFS('Theo dõi'!$A$2:$A$601,$A38,'Theo dõi'!$D$2:$D$601,"Perplexity",'Theo dõi'!$B$2:$B$601,"Q18")-COUNTIFS('Theo dõi'!$A$2:$A$601,$A38,'Theo dõi'!$D$2:$D$601,"Perplexity",'Theo dõi'!$B$2:$B$601,"Q19")-COUNTIFS('Theo dõi'!$A$2:$A$601,$A38,'Theo dõi'!$D$2:$D$601,"Perplexity",'Theo dõi'!$B$2:$B$601,"Q20"))=0,"",(COUNTIFS('Theo dõi'!$A$2:$A$601,$A38,'Theo dõi'!$D$2:$D$601,"Perplexity",'Theo dõi'!$G$2:$G$601,"Có")-COUNTIFS('Theo dõi'!$A$2:$A$601,$A38,'Theo dõi'!$D$2:$D$601,"Perplexity",'Theo dõi'!$G$2:$G$601,"Có",'Theo dõi'!$B$2:$B$601,"Q18")-COUNTIFS('Theo dõi'!$A$2:$A$601,$A38,'Theo dõi'!$D$2:$D$601,"Perplexity",'Theo dõi'!$G$2:$G$601,"Có",'Theo dõi'!$B$2:$B$601,"Q19")-COUNTIFS('Theo dõi'!$A$2:$A$601,$A38,'Theo dõi'!$D$2:$D$601,"Perplexity",'Theo dõi'!$G$2:$G$601,"Có",'Theo dõi'!$B$2:$B$601,"Q20"))/(COUNTIFS('Theo dõi'!$A$2:$A$601,$A38,'Theo dõi'!$D$2:$D$601,"Perplexity")-COUNTIFS('Theo dõi'!$A$2:$A$601,$A38,'Theo dõi'!$D$2:$D$601,"Perplexity",'Theo dõi'!$B$2:$B$601,"Q18")-COUNTIFS('Theo dõi'!$A$2:$A$601,$A38,'Theo dõi'!$D$2:$D$601,"Perplexity",'Theo dõi'!$B$2:$B$601,"Q19")-COUNTIFS('Theo dõi'!$A$2:$A$601,$A38,'Theo dõi'!$D$2:$D$601,"Perplexity",'Theo dõi'!$B$2:$B$601,"Q20")))</f>
        <v/>
      </c>
      <c r="E38" s="16" t="str">
        <f aca="false">IF((COUNTIFS('Theo dõi'!$A$2:$A$601,$A38,'Theo dõi'!$D$2:$D$601,"Gemini")-COUNTIFS('Theo dõi'!$A$2:$A$601,$A38,'Theo dõi'!$D$2:$D$601,"Gemini",'Theo dõi'!$B$2:$B$601,"Q18")-COUNTIFS('Theo dõi'!$A$2:$A$601,$A38,'Theo dõi'!$D$2:$D$601,"Gemini",'Theo dõi'!$B$2:$B$601,"Q19")-COUNTIFS('Theo dõi'!$A$2:$A$601,$A38,'Theo dõi'!$D$2:$D$601,"Gemini",'Theo dõi'!$B$2:$B$601,"Q20"))=0,"",(COUNTIFS('Theo dõi'!$A$2:$A$601,$A38,'Theo dõi'!$D$2:$D$601,"Gemini",'Theo dõi'!$G$2:$G$601,"Có")-COUNTIFS('Theo dõi'!$A$2:$A$601,$A38,'Theo dõi'!$D$2:$D$601,"Gemini",'Theo dõi'!$G$2:$G$601,"Có",'Theo dõi'!$B$2:$B$601,"Q18")-COUNTIFS('Theo dõi'!$A$2:$A$601,$A38,'Theo dõi'!$D$2:$D$601,"Gemini",'Theo dõi'!$G$2:$G$601,"Có",'Theo dõi'!$B$2:$B$601,"Q19")-COUNTIFS('Theo dõi'!$A$2:$A$601,$A38,'Theo dõi'!$D$2:$D$601,"Gemini",'Theo dõi'!$G$2:$G$601,"Có",'Theo dõi'!$B$2:$B$601,"Q20"))/(COUNTIFS('Theo dõi'!$A$2:$A$601,$A38,'Theo dõi'!$D$2:$D$601,"Gemini")-COUNTIFS('Theo dõi'!$A$2:$A$601,$A38,'Theo dõi'!$D$2:$D$601,"Gemini",'Theo dõi'!$B$2:$B$601,"Q18")-COUNTIFS('Theo dõi'!$A$2:$A$601,$A38,'Theo dõi'!$D$2:$D$601,"Gemini",'Theo dõi'!$B$2:$B$601,"Q19")-COUNTIFS('Theo dõi'!$A$2:$A$601,$A38,'Theo dõi'!$D$2:$D$601,"Gemini",'Theo dõi'!$B$2:$B$601,"Q20")))</f>
        <v/>
      </c>
      <c r="F38" s="16" t="str">
        <f aca="false">IF((COUNTIFS('Theo dõi'!$A$2:$A$601,$A38,'Theo dõi'!$D$2:$D$601,"Google AI Overview")-COUNTIFS('Theo dõi'!$A$2:$A$601,$A38,'Theo dõi'!$D$2:$D$601,"Google AI Overview",'Theo dõi'!$B$2:$B$601,"Q18")-COUNTIFS('Theo dõi'!$A$2:$A$601,$A38,'Theo dõi'!$D$2:$D$601,"Google AI Overview",'Theo dõi'!$B$2:$B$601,"Q19")-COUNTIFS('Theo dõi'!$A$2:$A$601,$A38,'Theo dõi'!$D$2:$D$601,"Google AI Overview",'Theo dõi'!$B$2:$B$601,"Q20"))=0,"",(COUNTIFS('Theo dõi'!$A$2:$A$601,$A38,'Theo dõi'!$D$2:$D$601,"Google AI Overview",'Theo dõi'!$G$2:$G$601,"Có")-COUNTIFS('Theo dõi'!$A$2:$A$601,$A38,'Theo dõi'!$D$2:$D$601,"Google AI Overview",'Theo dõi'!$G$2:$G$601,"Có",'Theo dõi'!$B$2:$B$601,"Q18")-COUNTIFS('Theo dõi'!$A$2:$A$601,$A38,'Theo dõi'!$D$2:$D$601,"Google AI Overview",'Theo dõi'!$G$2:$G$601,"Có",'Theo dõi'!$B$2:$B$601,"Q19")-COUNTIFS('Theo dõi'!$A$2:$A$601,$A38,'Theo dõi'!$D$2:$D$601,"Google AI Overview",'Theo dõi'!$G$2:$G$601,"Có",'Theo dõi'!$B$2:$B$601,"Q20"))/(COUNTIFS('Theo dõi'!$A$2:$A$601,$A38,'Theo dõi'!$D$2:$D$601,"Google AI Overview")-COUNTIFS('Theo dõi'!$A$2:$A$601,$A38,'Theo dõi'!$D$2:$D$601,"Google AI Overview",'Theo dõi'!$B$2:$B$601,"Q18")-COUNTIFS('Theo dõi'!$A$2:$A$601,$A38,'Theo dõi'!$D$2:$D$601,"Google AI Overview",'Theo dõi'!$B$2:$B$601,"Q19")-COUNTIFS('Theo dõi'!$A$2:$A$601,$A38,'Theo dõi'!$D$2:$D$601,"Google AI Overview",'Theo dõi'!$B$2:$B$601,"Q20")))</f>
        <v/>
      </c>
      <c r="G38" s="16" t="str">
        <f aca="false">IF((COUNTIFS('Theo dõi'!$A$2:$A$601,$A38,'Theo dõi'!$D$2:$D$601,"Copilot")-COUNTIFS('Theo dõi'!$A$2:$A$601,$A38,'Theo dõi'!$D$2:$D$601,"Copilot",'Theo dõi'!$B$2:$B$601,"Q18")-COUNTIFS('Theo dõi'!$A$2:$A$601,$A38,'Theo dõi'!$D$2:$D$601,"Copilot",'Theo dõi'!$B$2:$B$601,"Q19")-COUNTIFS('Theo dõi'!$A$2:$A$601,$A38,'Theo dõi'!$D$2:$D$601,"Copilot",'Theo dõi'!$B$2:$B$601,"Q20"))=0,"",(COUNTIFS('Theo dõi'!$A$2:$A$601,$A38,'Theo dõi'!$D$2:$D$601,"Copilot",'Theo dõi'!$G$2:$G$601,"Có")-COUNTIFS('Theo dõi'!$A$2:$A$601,$A38,'Theo dõi'!$D$2:$D$601,"Copilot",'Theo dõi'!$G$2:$G$601,"Có",'Theo dõi'!$B$2:$B$601,"Q18")-COUNTIFS('Theo dõi'!$A$2:$A$601,$A38,'Theo dõi'!$D$2:$D$601,"Copilot",'Theo dõi'!$G$2:$G$601,"Có",'Theo dõi'!$B$2:$B$601,"Q19")-COUNTIFS('Theo dõi'!$A$2:$A$601,$A38,'Theo dõi'!$D$2:$D$601,"Copilot",'Theo dõi'!$G$2:$G$601,"Có",'Theo dõi'!$B$2:$B$601,"Q20"))/(COUNTIFS('Theo dõi'!$A$2:$A$601,$A38,'Theo dõi'!$D$2:$D$601,"Copilot")-COUNTIFS('Theo dõi'!$A$2:$A$601,$A38,'Theo dõi'!$D$2:$D$601,"Copilot",'Theo dõi'!$B$2:$B$601,"Q18")-COUNTIFS('Theo dõi'!$A$2:$A$601,$A38,'Theo dõi'!$D$2:$D$601,"Copilot",'Theo dõi'!$B$2:$B$601,"Q19")-COUNTIFS('Theo dõi'!$A$2:$A$601,$A38,'Theo dõi'!$D$2:$D$601,"Copilot",'Theo dõi'!$B$2:$B$601,"Q20")))</f>
        <v/>
      </c>
      <c r="H38" s="17" t="str">
        <f aca="false">IF((COUNTIFS('Theo dõi'!$A$2:$A$601,$A38,'Theo dõi'!$D$2:$D$601,"&lt;&gt;")-COUNTIFS('Theo dõi'!$A$2:$A$601,$A38,'Theo dõi'!$D$2:$D$601,"&lt;&gt;",'Theo dõi'!$B$2:$B$601,"Q18")-COUNTIFS('Theo dõi'!$A$2:$A$601,$A38,'Theo dõi'!$D$2:$D$601,"&lt;&gt;",'Theo dõi'!$B$2:$B$601,"Q19")-COUNTIFS('Theo dõi'!$A$2:$A$601,$A38,'Theo dõi'!$D$2:$D$601,"&lt;&gt;",'Theo dõi'!$B$2:$B$601,"Q20"))=0,"",(COUNTIFS('Theo dõi'!$A$2:$A$601,$A38,'Theo dõi'!$D$2:$D$601,"&lt;&gt;",'Theo dõi'!$G$2:$G$601,"Có")-COUNTIFS('Theo dõi'!$A$2:$A$601,$A38,'Theo dõi'!$D$2:$D$601,"&lt;&gt;",'Theo dõi'!$G$2:$G$601,"Có",'Theo dõi'!$B$2:$B$601,"Q18")-COUNTIFS('Theo dõi'!$A$2:$A$601,$A38,'Theo dõi'!$D$2:$D$601,"&lt;&gt;",'Theo dõi'!$G$2:$G$601,"Có",'Theo dõi'!$B$2:$B$601,"Q19")-COUNTIFS('Theo dõi'!$A$2:$A$601,$A38,'Theo dõi'!$D$2:$D$601,"&lt;&gt;",'Theo dõi'!$G$2:$G$601,"Có",'Theo dõi'!$B$2:$B$601,"Q20"))/(COUNTIFS('Theo dõi'!$A$2:$A$601,$A38,'Theo dõi'!$D$2:$D$601,"&lt;&gt;")-COUNTIFS('Theo dõi'!$A$2:$A$601,$A38,'Theo dõi'!$D$2:$D$601,"&lt;&gt;",'Theo dõi'!$B$2:$B$601,"Q18")-COUNTIFS('Theo dõi'!$A$2:$A$601,$A38,'Theo dõi'!$D$2:$D$601,"&lt;&gt;",'Theo dõi'!$B$2:$B$601,"Q19")-COUNTIFS('Theo dõi'!$A$2:$A$601,$A38,'Theo dõi'!$D$2:$D$601,"&lt;&gt;",'Theo dõi'!$B$2:$B$601,"Q20")))</f>
        <v/>
      </c>
    </row>
    <row r="40" customFormat="false" ht="15" hidden="false" customHeight="false" outlineLevel="0" collapsed="false">
      <c r="A40" s="12" t="s">
        <v>143</v>
      </c>
    </row>
    <row r="41" customFormat="false" ht="26.85" hidden="false" customHeight="false" outlineLevel="0" collapsed="false">
      <c r="A41" s="13" t="s">
        <v>19</v>
      </c>
      <c r="B41" s="13" t="s">
        <v>122</v>
      </c>
      <c r="C41" s="13" t="s">
        <v>123</v>
      </c>
      <c r="D41" s="13" t="s">
        <v>35</v>
      </c>
      <c r="E41" s="13" t="s">
        <v>124</v>
      </c>
      <c r="F41" s="13" t="s">
        <v>125</v>
      </c>
      <c r="G41" s="13" t="s">
        <v>126</v>
      </c>
      <c r="H41" s="13" t="s">
        <v>127</v>
      </c>
    </row>
    <row r="42" customFormat="false" ht="15" hidden="false" customHeight="false" outlineLevel="0" collapsed="false">
      <c r="A42" s="14" t="s">
        <v>128</v>
      </c>
      <c r="B42" s="15" t="n">
        <f aca="false">COUNTIFS('Theo dõi'!$A$2:$A$601,$A42,'Theo dõi'!$D$2:$D$601,"&lt;&gt;")-COUNTIFS('Theo dõi'!$A$2:$A$601,$A42,'Theo dõi'!$D$2:$D$601,"&lt;&gt;",'Theo dõi'!$B$2:$B$601,"Q18")-COUNTIFS('Theo dõi'!$A$2:$A$601,$A42,'Theo dõi'!$D$2:$D$601,"&lt;&gt;",'Theo dõi'!$B$2:$B$601,"Q19")-COUNTIFS('Theo dõi'!$A$2:$A$601,$A42,'Theo dõi'!$D$2:$D$601,"&lt;&gt;",'Theo dõi'!$B$2:$B$601,"Q20")</f>
        <v>0</v>
      </c>
      <c r="C42" s="16" t="str">
        <f aca="false">IF((COUNTIFS('Theo dõi'!$A$2:$A$601,$A42,'Theo dõi'!$D$2:$D$601,"ChatGPT")-COUNTIFS('Theo dõi'!$A$2:$A$601,$A42,'Theo dõi'!$D$2:$D$601,"ChatGPT",'Theo dõi'!$B$2:$B$601,"Q18")-COUNTIFS('Theo dõi'!$A$2:$A$601,$A42,'Theo dõi'!$D$2:$D$601,"ChatGPT",'Theo dõi'!$B$2:$B$601,"Q19")-COUNTIFS('Theo dõi'!$A$2:$A$601,$A42,'Theo dõi'!$D$2:$D$601,"ChatGPT",'Theo dõi'!$B$2:$B$601,"Q20"))=0,"",(COUNTIFS('Theo dõi'!$A$2:$A$601,$A42,'Theo dõi'!$D$2:$D$601,"ChatGPT",'Theo dõi'!$H$2:$H$601,"Có")-COUNTIFS('Theo dõi'!$A$2:$A$601,$A42,'Theo dõi'!$D$2:$D$601,"ChatGPT",'Theo dõi'!$H$2:$H$601,"Có",'Theo dõi'!$B$2:$B$601,"Q18")-COUNTIFS('Theo dõi'!$A$2:$A$601,$A42,'Theo dõi'!$D$2:$D$601,"ChatGPT",'Theo dõi'!$H$2:$H$601,"Có",'Theo dõi'!$B$2:$B$601,"Q19")-COUNTIFS('Theo dõi'!$A$2:$A$601,$A42,'Theo dõi'!$D$2:$D$601,"ChatGPT",'Theo dõi'!$H$2:$H$601,"Có",'Theo dõi'!$B$2:$B$601,"Q20"))/(COUNTIFS('Theo dõi'!$A$2:$A$601,$A42,'Theo dõi'!$D$2:$D$601,"ChatGPT")-COUNTIFS('Theo dõi'!$A$2:$A$601,$A42,'Theo dõi'!$D$2:$D$601,"ChatGPT",'Theo dõi'!$B$2:$B$601,"Q18")-COUNTIFS('Theo dõi'!$A$2:$A$601,$A42,'Theo dõi'!$D$2:$D$601,"ChatGPT",'Theo dõi'!$B$2:$B$601,"Q19")-COUNTIFS('Theo dõi'!$A$2:$A$601,$A42,'Theo dõi'!$D$2:$D$601,"ChatGPT",'Theo dõi'!$B$2:$B$601,"Q20")))</f>
        <v/>
      </c>
      <c r="D42" s="16" t="str">
        <f aca="false">IF((COUNTIFS('Theo dõi'!$A$2:$A$601,$A42,'Theo dõi'!$D$2:$D$601,"Perplexity")-COUNTIFS('Theo dõi'!$A$2:$A$601,$A42,'Theo dõi'!$D$2:$D$601,"Perplexity",'Theo dõi'!$B$2:$B$601,"Q18")-COUNTIFS('Theo dõi'!$A$2:$A$601,$A42,'Theo dõi'!$D$2:$D$601,"Perplexity",'Theo dõi'!$B$2:$B$601,"Q19")-COUNTIFS('Theo dõi'!$A$2:$A$601,$A42,'Theo dõi'!$D$2:$D$601,"Perplexity",'Theo dõi'!$B$2:$B$601,"Q20"))=0,"",(COUNTIFS('Theo dõi'!$A$2:$A$601,$A42,'Theo dõi'!$D$2:$D$601,"Perplexity",'Theo dõi'!$H$2:$H$601,"Có")-COUNTIFS('Theo dõi'!$A$2:$A$601,$A42,'Theo dõi'!$D$2:$D$601,"Perplexity",'Theo dõi'!$H$2:$H$601,"Có",'Theo dõi'!$B$2:$B$601,"Q18")-COUNTIFS('Theo dõi'!$A$2:$A$601,$A42,'Theo dõi'!$D$2:$D$601,"Perplexity",'Theo dõi'!$H$2:$H$601,"Có",'Theo dõi'!$B$2:$B$601,"Q19")-COUNTIFS('Theo dõi'!$A$2:$A$601,$A42,'Theo dõi'!$D$2:$D$601,"Perplexity",'Theo dõi'!$H$2:$H$601,"Có",'Theo dõi'!$B$2:$B$601,"Q20"))/(COUNTIFS('Theo dõi'!$A$2:$A$601,$A42,'Theo dõi'!$D$2:$D$601,"Perplexity")-COUNTIFS('Theo dõi'!$A$2:$A$601,$A42,'Theo dõi'!$D$2:$D$601,"Perplexity",'Theo dõi'!$B$2:$B$601,"Q18")-COUNTIFS('Theo dõi'!$A$2:$A$601,$A42,'Theo dõi'!$D$2:$D$601,"Perplexity",'Theo dõi'!$B$2:$B$601,"Q19")-COUNTIFS('Theo dõi'!$A$2:$A$601,$A42,'Theo dõi'!$D$2:$D$601,"Perplexity",'Theo dõi'!$B$2:$B$601,"Q20")))</f>
        <v/>
      </c>
      <c r="E42" s="16" t="str">
        <f aca="false">IF((COUNTIFS('Theo dõi'!$A$2:$A$601,$A42,'Theo dõi'!$D$2:$D$601,"Gemini")-COUNTIFS('Theo dõi'!$A$2:$A$601,$A42,'Theo dõi'!$D$2:$D$601,"Gemini",'Theo dõi'!$B$2:$B$601,"Q18")-COUNTIFS('Theo dõi'!$A$2:$A$601,$A42,'Theo dõi'!$D$2:$D$601,"Gemini",'Theo dõi'!$B$2:$B$601,"Q19")-COUNTIFS('Theo dõi'!$A$2:$A$601,$A42,'Theo dõi'!$D$2:$D$601,"Gemini",'Theo dõi'!$B$2:$B$601,"Q20"))=0,"",(COUNTIFS('Theo dõi'!$A$2:$A$601,$A42,'Theo dõi'!$D$2:$D$601,"Gemini",'Theo dõi'!$H$2:$H$601,"Có")-COUNTIFS('Theo dõi'!$A$2:$A$601,$A42,'Theo dõi'!$D$2:$D$601,"Gemini",'Theo dõi'!$H$2:$H$601,"Có",'Theo dõi'!$B$2:$B$601,"Q18")-COUNTIFS('Theo dõi'!$A$2:$A$601,$A42,'Theo dõi'!$D$2:$D$601,"Gemini",'Theo dõi'!$H$2:$H$601,"Có",'Theo dõi'!$B$2:$B$601,"Q19")-COUNTIFS('Theo dõi'!$A$2:$A$601,$A42,'Theo dõi'!$D$2:$D$601,"Gemini",'Theo dõi'!$H$2:$H$601,"Có",'Theo dõi'!$B$2:$B$601,"Q20"))/(COUNTIFS('Theo dõi'!$A$2:$A$601,$A42,'Theo dõi'!$D$2:$D$601,"Gemini")-COUNTIFS('Theo dõi'!$A$2:$A$601,$A42,'Theo dõi'!$D$2:$D$601,"Gemini",'Theo dõi'!$B$2:$B$601,"Q18")-COUNTIFS('Theo dõi'!$A$2:$A$601,$A42,'Theo dõi'!$D$2:$D$601,"Gemini",'Theo dõi'!$B$2:$B$601,"Q19")-COUNTIFS('Theo dõi'!$A$2:$A$601,$A42,'Theo dõi'!$D$2:$D$601,"Gemini",'Theo dõi'!$B$2:$B$601,"Q20")))</f>
        <v/>
      </c>
      <c r="F42" s="16" t="str">
        <f aca="false">IF((COUNTIFS('Theo dõi'!$A$2:$A$601,$A42,'Theo dõi'!$D$2:$D$601,"Google AI Overview")-COUNTIFS('Theo dõi'!$A$2:$A$601,$A42,'Theo dõi'!$D$2:$D$601,"Google AI Overview",'Theo dõi'!$B$2:$B$601,"Q18")-COUNTIFS('Theo dõi'!$A$2:$A$601,$A42,'Theo dõi'!$D$2:$D$601,"Google AI Overview",'Theo dõi'!$B$2:$B$601,"Q19")-COUNTIFS('Theo dõi'!$A$2:$A$601,$A42,'Theo dõi'!$D$2:$D$601,"Google AI Overview",'Theo dõi'!$B$2:$B$601,"Q20"))=0,"",(COUNTIFS('Theo dõi'!$A$2:$A$601,$A42,'Theo dõi'!$D$2:$D$601,"Google AI Overview",'Theo dõi'!$H$2:$H$601,"Có")-COUNTIFS('Theo dõi'!$A$2:$A$601,$A42,'Theo dõi'!$D$2:$D$601,"Google AI Overview",'Theo dõi'!$H$2:$H$601,"Có",'Theo dõi'!$B$2:$B$601,"Q18")-COUNTIFS('Theo dõi'!$A$2:$A$601,$A42,'Theo dõi'!$D$2:$D$601,"Google AI Overview",'Theo dõi'!$H$2:$H$601,"Có",'Theo dõi'!$B$2:$B$601,"Q19")-COUNTIFS('Theo dõi'!$A$2:$A$601,$A42,'Theo dõi'!$D$2:$D$601,"Google AI Overview",'Theo dõi'!$H$2:$H$601,"Có",'Theo dõi'!$B$2:$B$601,"Q20"))/(COUNTIFS('Theo dõi'!$A$2:$A$601,$A42,'Theo dõi'!$D$2:$D$601,"Google AI Overview")-COUNTIFS('Theo dõi'!$A$2:$A$601,$A42,'Theo dõi'!$D$2:$D$601,"Google AI Overview",'Theo dõi'!$B$2:$B$601,"Q18")-COUNTIFS('Theo dõi'!$A$2:$A$601,$A42,'Theo dõi'!$D$2:$D$601,"Google AI Overview",'Theo dõi'!$B$2:$B$601,"Q19")-COUNTIFS('Theo dõi'!$A$2:$A$601,$A42,'Theo dõi'!$D$2:$D$601,"Google AI Overview",'Theo dõi'!$B$2:$B$601,"Q20")))</f>
        <v/>
      </c>
      <c r="G42" s="16" t="str">
        <f aca="false">IF((COUNTIFS('Theo dõi'!$A$2:$A$601,$A42,'Theo dõi'!$D$2:$D$601,"Copilot")-COUNTIFS('Theo dõi'!$A$2:$A$601,$A42,'Theo dõi'!$D$2:$D$601,"Copilot",'Theo dõi'!$B$2:$B$601,"Q18")-COUNTIFS('Theo dõi'!$A$2:$A$601,$A42,'Theo dõi'!$D$2:$D$601,"Copilot",'Theo dõi'!$B$2:$B$601,"Q19")-COUNTIFS('Theo dõi'!$A$2:$A$601,$A42,'Theo dõi'!$D$2:$D$601,"Copilot",'Theo dõi'!$B$2:$B$601,"Q20"))=0,"",(COUNTIFS('Theo dõi'!$A$2:$A$601,$A42,'Theo dõi'!$D$2:$D$601,"Copilot",'Theo dõi'!$H$2:$H$601,"Có")-COUNTIFS('Theo dõi'!$A$2:$A$601,$A42,'Theo dõi'!$D$2:$D$601,"Copilot",'Theo dõi'!$H$2:$H$601,"Có",'Theo dõi'!$B$2:$B$601,"Q18")-COUNTIFS('Theo dõi'!$A$2:$A$601,$A42,'Theo dõi'!$D$2:$D$601,"Copilot",'Theo dõi'!$H$2:$H$601,"Có",'Theo dõi'!$B$2:$B$601,"Q19")-COUNTIFS('Theo dõi'!$A$2:$A$601,$A42,'Theo dõi'!$D$2:$D$601,"Copilot",'Theo dõi'!$H$2:$H$601,"Có",'Theo dõi'!$B$2:$B$601,"Q20"))/(COUNTIFS('Theo dõi'!$A$2:$A$601,$A42,'Theo dõi'!$D$2:$D$601,"Copilot")-COUNTIFS('Theo dõi'!$A$2:$A$601,$A42,'Theo dõi'!$D$2:$D$601,"Copilot",'Theo dõi'!$B$2:$B$601,"Q18")-COUNTIFS('Theo dõi'!$A$2:$A$601,$A42,'Theo dõi'!$D$2:$D$601,"Copilot",'Theo dõi'!$B$2:$B$601,"Q19")-COUNTIFS('Theo dõi'!$A$2:$A$601,$A42,'Theo dõi'!$D$2:$D$601,"Copilot",'Theo dõi'!$B$2:$B$601,"Q20")))</f>
        <v/>
      </c>
      <c r="H42" s="17" t="str">
        <f aca="false">IF((COUNTIFS('Theo dõi'!$A$2:$A$601,$A42,'Theo dõi'!$D$2:$D$601,"&lt;&gt;")-COUNTIFS('Theo dõi'!$A$2:$A$601,$A42,'Theo dõi'!$D$2:$D$601,"&lt;&gt;",'Theo dõi'!$B$2:$B$601,"Q18")-COUNTIFS('Theo dõi'!$A$2:$A$601,$A42,'Theo dõi'!$D$2:$D$601,"&lt;&gt;",'Theo dõi'!$B$2:$B$601,"Q19")-COUNTIFS('Theo dõi'!$A$2:$A$601,$A42,'Theo dõi'!$D$2:$D$601,"&lt;&gt;",'Theo dõi'!$B$2:$B$601,"Q20"))=0,"",(COUNTIFS('Theo dõi'!$A$2:$A$601,$A42,'Theo dõi'!$D$2:$D$601,"&lt;&gt;",'Theo dõi'!$H$2:$H$601,"Có")-COUNTIFS('Theo dõi'!$A$2:$A$601,$A42,'Theo dõi'!$D$2:$D$601,"&lt;&gt;",'Theo dõi'!$H$2:$H$601,"Có",'Theo dõi'!$B$2:$B$601,"Q18")-COUNTIFS('Theo dõi'!$A$2:$A$601,$A42,'Theo dõi'!$D$2:$D$601,"&lt;&gt;",'Theo dõi'!$H$2:$H$601,"Có",'Theo dõi'!$B$2:$B$601,"Q19")-COUNTIFS('Theo dõi'!$A$2:$A$601,$A42,'Theo dõi'!$D$2:$D$601,"&lt;&gt;",'Theo dõi'!$H$2:$H$601,"Có",'Theo dõi'!$B$2:$B$601,"Q20"))/(COUNTIFS('Theo dõi'!$A$2:$A$601,$A42,'Theo dõi'!$D$2:$D$601,"&lt;&gt;")-COUNTIFS('Theo dõi'!$A$2:$A$601,$A42,'Theo dõi'!$D$2:$D$601,"&lt;&gt;",'Theo dõi'!$B$2:$B$601,"Q18")-COUNTIFS('Theo dõi'!$A$2:$A$601,$A42,'Theo dõi'!$D$2:$D$601,"&lt;&gt;",'Theo dõi'!$B$2:$B$601,"Q19")-COUNTIFS('Theo dõi'!$A$2:$A$601,$A42,'Theo dõi'!$D$2:$D$601,"&lt;&gt;",'Theo dõi'!$B$2:$B$601,"Q20")))</f>
        <v/>
      </c>
    </row>
    <row r="43" customFormat="false" ht="15" hidden="false" customHeight="false" outlineLevel="0" collapsed="false">
      <c r="A43" s="14" t="s">
        <v>32</v>
      </c>
      <c r="B43" s="15" t="n">
        <f aca="false">COUNTIFS('Theo dõi'!$A$2:$A$601,$A43,'Theo dõi'!$D$2:$D$601,"&lt;&gt;")-COUNTIFS('Theo dõi'!$A$2:$A$601,$A43,'Theo dõi'!$D$2:$D$601,"&lt;&gt;",'Theo dõi'!$B$2:$B$601,"Q18")-COUNTIFS('Theo dõi'!$A$2:$A$601,$A43,'Theo dõi'!$D$2:$D$601,"&lt;&gt;",'Theo dõi'!$B$2:$B$601,"Q19")-COUNTIFS('Theo dõi'!$A$2:$A$601,$A43,'Theo dõi'!$D$2:$D$601,"&lt;&gt;",'Theo dõi'!$B$2:$B$601,"Q20")</f>
        <v>0</v>
      </c>
      <c r="C43" s="16" t="str">
        <f aca="false">IF((COUNTIFS('Theo dõi'!$A$2:$A$601,$A43,'Theo dõi'!$D$2:$D$601,"ChatGPT")-COUNTIFS('Theo dõi'!$A$2:$A$601,$A43,'Theo dõi'!$D$2:$D$601,"ChatGPT",'Theo dõi'!$B$2:$B$601,"Q18")-COUNTIFS('Theo dõi'!$A$2:$A$601,$A43,'Theo dõi'!$D$2:$D$601,"ChatGPT",'Theo dõi'!$B$2:$B$601,"Q19")-COUNTIFS('Theo dõi'!$A$2:$A$601,$A43,'Theo dõi'!$D$2:$D$601,"ChatGPT",'Theo dõi'!$B$2:$B$601,"Q20"))=0,"",(COUNTIFS('Theo dõi'!$A$2:$A$601,$A43,'Theo dõi'!$D$2:$D$601,"ChatGPT",'Theo dõi'!$H$2:$H$601,"Có")-COUNTIFS('Theo dõi'!$A$2:$A$601,$A43,'Theo dõi'!$D$2:$D$601,"ChatGPT",'Theo dõi'!$H$2:$H$601,"Có",'Theo dõi'!$B$2:$B$601,"Q18")-COUNTIFS('Theo dõi'!$A$2:$A$601,$A43,'Theo dõi'!$D$2:$D$601,"ChatGPT",'Theo dõi'!$H$2:$H$601,"Có",'Theo dõi'!$B$2:$B$601,"Q19")-COUNTIFS('Theo dõi'!$A$2:$A$601,$A43,'Theo dõi'!$D$2:$D$601,"ChatGPT",'Theo dõi'!$H$2:$H$601,"Có",'Theo dõi'!$B$2:$B$601,"Q20"))/(COUNTIFS('Theo dõi'!$A$2:$A$601,$A43,'Theo dõi'!$D$2:$D$601,"ChatGPT")-COUNTIFS('Theo dõi'!$A$2:$A$601,$A43,'Theo dõi'!$D$2:$D$601,"ChatGPT",'Theo dõi'!$B$2:$B$601,"Q18")-COUNTIFS('Theo dõi'!$A$2:$A$601,$A43,'Theo dõi'!$D$2:$D$601,"ChatGPT",'Theo dõi'!$B$2:$B$601,"Q19")-COUNTIFS('Theo dõi'!$A$2:$A$601,$A43,'Theo dõi'!$D$2:$D$601,"ChatGPT",'Theo dõi'!$B$2:$B$601,"Q20")))</f>
        <v/>
      </c>
      <c r="D43" s="16" t="str">
        <f aca="false">IF((COUNTIFS('Theo dõi'!$A$2:$A$601,$A43,'Theo dõi'!$D$2:$D$601,"Perplexity")-COUNTIFS('Theo dõi'!$A$2:$A$601,$A43,'Theo dõi'!$D$2:$D$601,"Perplexity",'Theo dõi'!$B$2:$B$601,"Q18")-COUNTIFS('Theo dõi'!$A$2:$A$601,$A43,'Theo dõi'!$D$2:$D$601,"Perplexity",'Theo dõi'!$B$2:$B$601,"Q19")-COUNTIFS('Theo dõi'!$A$2:$A$601,$A43,'Theo dõi'!$D$2:$D$601,"Perplexity",'Theo dõi'!$B$2:$B$601,"Q20"))=0,"",(COUNTIFS('Theo dõi'!$A$2:$A$601,$A43,'Theo dõi'!$D$2:$D$601,"Perplexity",'Theo dõi'!$H$2:$H$601,"Có")-COUNTIFS('Theo dõi'!$A$2:$A$601,$A43,'Theo dõi'!$D$2:$D$601,"Perplexity",'Theo dõi'!$H$2:$H$601,"Có",'Theo dõi'!$B$2:$B$601,"Q18")-COUNTIFS('Theo dõi'!$A$2:$A$601,$A43,'Theo dõi'!$D$2:$D$601,"Perplexity",'Theo dõi'!$H$2:$H$601,"Có",'Theo dõi'!$B$2:$B$601,"Q19")-COUNTIFS('Theo dõi'!$A$2:$A$601,$A43,'Theo dõi'!$D$2:$D$601,"Perplexity",'Theo dõi'!$H$2:$H$601,"Có",'Theo dõi'!$B$2:$B$601,"Q20"))/(COUNTIFS('Theo dõi'!$A$2:$A$601,$A43,'Theo dõi'!$D$2:$D$601,"Perplexity")-COUNTIFS('Theo dõi'!$A$2:$A$601,$A43,'Theo dõi'!$D$2:$D$601,"Perplexity",'Theo dõi'!$B$2:$B$601,"Q18")-COUNTIFS('Theo dõi'!$A$2:$A$601,$A43,'Theo dõi'!$D$2:$D$601,"Perplexity",'Theo dõi'!$B$2:$B$601,"Q19")-COUNTIFS('Theo dõi'!$A$2:$A$601,$A43,'Theo dõi'!$D$2:$D$601,"Perplexity",'Theo dõi'!$B$2:$B$601,"Q20")))</f>
        <v/>
      </c>
      <c r="E43" s="16" t="str">
        <f aca="false">IF((COUNTIFS('Theo dõi'!$A$2:$A$601,$A43,'Theo dõi'!$D$2:$D$601,"Gemini")-COUNTIFS('Theo dõi'!$A$2:$A$601,$A43,'Theo dõi'!$D$2:$D$601,"Gemini",'Theo dõi'!$B$2:$B$601,"Q18")-COUNTIFS('Theo dõi'!$A$2:$A$601,$A43,'Theo dõi'!$D$2:$D$601,"Gemini",'Theo dõi'!$B$2:$B$601,"Q19")-COUNTIFS('Theo dõi'!$A$2:$A$601,$A43,'Theo dõi'!$D$2:$D$601,"Gemini",'Theo dõi'!$B$2:$B$601,"Q20"))=0,"",(COUNTIFS('Theo dõi'!$A$2:$A$601,$A43,'Theo dõi'!$D$2:$D$601,"Gemini",'Theo dõi'!$H$2:$H$601,"Có")-COUNTIFS('Theo dõi'!$A$2:$A$601,$A43,'Theo dõi'!$D$2:$D$601,"Gemini",'Theo dõi'!$H$2:$H$601,"Có",'Theo dõi'!$B$2:$B$601,"Q18")-COUNTIFS('Theo dõi'!$A$2:$A$601,$A43,'Theo dõi'!$D$2:$D$601,"Gemini",'Theo dõi'!$H$2:$H$601,"Có",'Theo dõi'!$B$2:$B$601,"Q19")-COUNTIFS('Theo dõi'!$A$2:$A$601,$A43,'Theo dõi'!$D$2:$D$601,"Gemini",'Theo dõi'!$H$2:$H$601,"Có",'Theo dõi'!$B$2:$B$601,"Q20"))/(COUNTIFS('Theo dõi'!$A$2:$A$601,$A43,'Theo dõi'!$D$2:$D$601,"Gemini")-COUNTIFS('Theo dõi'!$A$2:$A$601,$A43,'Theo dõi'!$D$2:$D$601,"Gemini",'Theo dõi'!$B$2:$B$601,"Q18")-COUNTIFS('Theo dõi'!$A$2:$A$601,$A43,'Theo dõi'!$D$2:$D$601,"Gemini",'Theo dõi'!$B$2:$B$601,"Q19")-COUNTIFS('Theo dõi'!$A$2:$A$601,$A43,'Theo dõi'!$D$2:$D$601,"Gemini",'Theo dõi'!$B$2:$B$601,"Q20")))</f>
        <v/>
      </c>
      <c r="F43" s="16" t="str">
        <f aca="false">IF((COUNTIFS('Theo dõi'!$A$2:$A$601,$A43,'Theo dõi'!$D$2:$D$601,"Google AI Overview")-COUNTIFS('Theo dõi'!$A$2:$A$601,$A43,'Theo dõi'!$D$2:$D$601,"Google AI Overview",'Theo dõi'!$B$2:$B$601,"Q18")-COUNTIFS('Theo dõi'!$A$2:$A$601,$A43,'Theo dõi'!$D$2:$D$601,"Google AI Overview",'Theo dõi'!$B$2:$B$601,"Q19")-COUNTIFS('Theo dõi'!$A$2:$A$601,$A43,'Theo dõi'!$D$2:$D$601,"Google AI Overview",'Theo dõi'!$B$2:$B$601,"Q20"))=0,"",(COUNTIFS('Theo dõi'!$A$2:$A$601,$A43,'Theo dõi'!$D$2:$D$601,"Google AI Overview",'Theo dõi'!$H$2:$H$601,"Có")-COUNTIFS('Theo dõi'!$A$2:$A$601,$A43,'Theo dõi'!$D$2:$D$601,"Google AI Overview",'Theo dõi'!$H$2:$H$601,"Có",'Theo dõi'!$B$2:$B$601,"Q18")-COUNTIFS('Theo dõi'!$A$2:$A$601,$A43,'Theo dõi'!$D$2:$D$601,"Google AI Overview",'Theo dõi'!$H$2:$H$601,"Có",'Theo dõi'!$B$2:$B$601,"Q19")-COUNTIFS('Theo dõi'!$A$2:$A$601,$A43,'Theo dõi'!$D$2:$D$601,"Google AI Overview",'Theo dõi'!$H$2:$H$601,"Có",'Theo dõi'!$B$2:$B$601,"Q20"))/(COUNTIFS('Theo dõi'!$A$2:$A$601,$A43,'Theo dõi'!$D$2:$D$601,"Google AI Overview")-COUNTIFS('Theo dõi'!$A$2:$A$601,$A43,'Theo dõi'!$D$2:$D$601,"Google AI Overview",'Theo dõi'!$B$2:$B$601,"Q18")-COUNTIFS('Theo dõi'!$A$2:$A$601,$A43,'Theo dõi'!$D$2:$D$601,"Google AI Overview",'Theo dõi'!$B$2:$B$601,"Q19")-COUNTIFS('Theo dõi'!$A$2:$A$601,$A43,'Theo dõi'!$D$2:$D$601,"Google AI Overview",'Theo dõi'!$B$2:$B$601,"Q20")))</f>
        <v/>
      </c>
      <c r="G43" s="16" t="str">
        <f aca="false">IF((COUNTIFS('Theo dõi'!$A$2:$A$601,$A43,'Theo dõi'!$D$2:$D$601,"Copilot")-COUNTIFS('Theo dõi'!$A$2:$A$601,$A43,'Theo dõi'!$D$2:$D$601,"Copilot",'Theo dõi'!$B$2:$B$601,"Q18")-COUNTIFS('Theo dõi'!$A$2:$A$601,$A43,'Theo dõi'!$D$2:$D$601,"Copilot",'Theo dõi'!$B$2:$B$601,"Q19")-COUNTIFS('Theo dõi'!$A$2:$A$601,$A43,'Theo dõi'!$D$2:$D$601,"Copilot",'Theo dõi'!$B$2:$B$601,"Q20"))=0,"",(COUNTIFS('Theo dõi'!$A$2:$A$601,$A43,'Theo dõi'!$D$2:$D$601,"Copilot",'Theo dõi'!$H$2:$H$601,"Có")-COUNTIFS('Theo dõi'!$A$2:$A$601,$A43,'Theo dõi'!$D$2:$D$601,"Copilot",'Theo dõi'!$H$2:$H$601,"Có",'Theo dõi'!$B$2:$B$601,"Q18")-COUNTIFS('Theo dõi'!$A$2:$A$601,$A43,'Theo dõi'!$D$2:$D$601,"Copilot",'Theo dõi'!$H$2:$H$601,"Có",'Theo dõi'!$B$2:$B$601,"Q19")-COUNTIFS('Theo dõi'!$A$2:$A$601,$A43,'Theo dõi'!$D$2:$D$601,"Copilot",'Theo dõi'!$H$2:$H$601,"Có",'Theo dõi'!$B$2:$B$601,"Q20"))/(COUNTIFS('Theo dõi'!$A$2:$A$601,$A43,'Theo dõi'!$D$2:$D$601,"Copilot")-COUNTIFS('Theo dõi'!$A$2:$A$601,$A43,'Theo dõi'!$D$2:$D$601,"Copilot",'Theo dõi'!$B$2:$B$601,"Q18")-COUNTIFS('Theo dõi'!$A$2:$A$601,$A43,'Theo dõi'!$D$2:$D$601,"Copilot",'Theo dõi'!$B$2:$B$601,"Q19")-COUNTIFS('Theo dõi'!$A$2:$A$601,$A43,'Theo dõi'!$D$2:$D$601,"Copilot",'Theo dõi'!$B$2:$B$601,"Q20")))</f>
        <v/>
      </c>
      <c r="H43" s="17" t="str">
        <f aca="false">IF((COUNTIFS('Theo dõi'!$A$2:$A$601,$A43,'Theo dõi'!$D$2:$D$601,"&lt;&gt;")-COUNTIFS('Theo dõi'!$A$2:$A$601,$A43,'Theo dõi'!$D$2:$D$601,"&lt;&gt;",'Theo dõi'!$B$2:$B$601,"Q18")-COUNTIFS('Theo dõi'!$A$2:$A$601,$A43,'Theo dõi'!$D$2:$D$601,"&lt;&gt;",'Theo dõi'!$B$2:$B$601,"Q19")-COUNTIFS('Theo dõi'!$A$2:$A$601,$A43,'Theo dõi'!$D$2:$D$601,"&lt;&gt;",'Theo dõi'!$B$2:$B$601,"Q20"))=0,"",(COUNTIFS('Theo dõi'!$A$2:$A$601,$A43,'Theo dõi'!$D$2:$D$601,"&lt;&gt;",'Theo dõi'!$H$2:$H$601,"Có")-COUNTIFS('Theo dõi'!$A$2:$A$601,$A43,'Theo dõi'!$D$2:$D$601,"&lt;&gt;",'Theo dõi'!$H$2:$H$601,"Có",'Theo dõi'!$B$2:$B$601,"Q18")-COUNTIFS('Theo dõi'!$A$2:$A$601,$A43,'Theo dõi'!$D$2:$D$601,"&lt;&gt;",'Theo dõi'!$H$2:$H$601,"Có",'Theo dõi'!$B$2:$B$601,"Q19")-COUNTIFS('Theo dõi'!$A$2:$A$601,$A43,'Theo dõi'!$D$2:$D$601,"&lt;&gt;",'Theo dõi'!$H$2:$H$601,"Có",'Theo dõi'!$B$2:$B$601,"Q20"))/(COUNTIFS('Theo dõi'!$A$2:$A$601,$A43,'Theo dõi'!$D$2:$D$601,"&lt;&gt;")-COUNTIFS('Theo dõi'!$A$2:$A$601,$A43,'Theo dõi'!$D$2:$D$601,"&lt;&gt;",'Theo dõi'!$B$2:$B$601,"Q18")-COUNTIFS('Theo dõi'!$A$2:$A$601,$A43,'Theo dõi'!$D$2:$D$601,"&lt;&gt;",'Theo dõi'!$B$2:$B$601,"Q19")-COUNTIFS('Theo dõi'!$A$2:$A$601,$A43,'Theo dõi'!$D$2:$D$601,"&lt;&gt;",'Theo dõi'!$B$2:$B$601,"Q20")))</f>
        <v/>
      </c>
    </row>
    <row r="44" customFormat="false" ht="15" hidden="false" customHeight="false" outlineLevel="0" collapsed="false">
      <c r="A44" s="14" t="s">
        <v>129</v>
      </c>
      <c r="B44" s="15" t="n">
        <f aca="false">COUNTIFS('Theo dõi'!$A$2:$A$601,$A44,'Theo dõi'!$D$2:$D$601,"&lt;&gt;")-COUNTIFS('Theo dõi'!$A$2:$A$601,$A44,'Theo dõi'!$D$2:$D$601,"&lt;&gt;",'Theo dõi'!$B$2:$B$601,"Q18")-COUNTIFS('Theo dõi'!$A$2:$A$601,$A44,'Theo dõi'!$D$2:$D$601,"&lt;&gt;",'Theo dõi'!$B$2:$B$601,"Q19")-COUNTIFS('Theo dõi'!$A$2:$A$601,$A44,'Theo dõi'!$D$2:$D$601,"&lt;&gt;",'Theo dõi'!$B$2:$B$601,"Q20")</f>
        <v>0</v>
      </c>
      <c r="C44" s="16" t="str">
        <f aca="false">IF((COUNTIFS('Theo dõi'!$A$2:$A$601,$A44,'Theo dõi'!$D$2:$D$601,"ChatGPT")-COUNTIFS('Theo dõi'!$A$2:$A$601,$A44,'Theo dõi'!$D$2:$D$601,"ChatGPT",'Theo dõi'!$B$2:$B$601,"Q18")-COUNTIFS('Theo dõi'!$A$2:$A$601,$A44,'Theo dõi'!$D$2:$D$601,"ChatGPT",'Theo dõi'!$B$2:$B$601,"Q19")-COUNTIFS('Theo dõi'!$A$2:$A$601,$A44,'Theo dõi'!$D$2:$D$601,"ChatGPT",'Theo dõi'!$B$2:$B$601,"Q20"))=0,"",(COUNTIFS('Theo dõi'!$A$2:$A$601,$A44,'Theo dõi'!$D$2:$D$601,"ChatGPT",'Theo dõi'!$H$2:$H$601,"Có")-COUNTIFS('Theo dõi'!$A$2:$A$601,$A44,'Theo dõi'!$D$2:$D$601,"ChatGPT",'Theo dõi'!$H$2:$H$601,"Có",'Theo dõi'!$B$2:$B$601,"Q18")-COUNTIFS('Theo dõi'!$A$2:$A$601,$A44,'Theo dõi'!$D$2:$D$601,"ChatGPT",'Theo dõi'!$H$2:$H$601,"Có",'Theo dõi'!$B$2:$B$601,"Q19")-COUNTIFS('Theo dõi'!$A$2:$A$601,$A44,'Theo dõi'!$D$2:$D$601,"ChatGPT",'Theo dõi'!$H$2:$H$601,"Có",'Theo dõi'!$B$2:$B$601,"Q20"))/(COUNTIFS('Theo dõi'!$A$2:$A$601,$A44,'Theo dõi'!$D$2:$D$601,"ChatGPT")-COUNTIFS('Theo dõi'!$A$2:$A$601,$A44,'Theo dõi'!$D$2:$D$601,"ChatGPT",'Theo dõi'!$B$2:$B$601,"Q18")-COUNTIFS('Theo dõi'!$A$2:$A$601,$A44,'Theo dõi'!$D$2:$D$601,"ChatGPT",'Theo dõi'!$B$2:$B$601,"Q19")-COUNTIFS('Theo dõi'!$A$2:$A$601,$A44,'Theo dõi'!$D$2:$D$601,"ChatGPT",'Theo dõi'!$B$2:$B$601,"Q20")))</f>
        <v/>
      </c>
      <c r="D44" s="16" t="str">
        <f aca="false">IF((COUNTIFS('Theo dõi'!$A$2:$A$601,$A44,'Theo dõi'!$D$2:$D$601,"Perplexity")-COUNTIFS('Theo dõi'!$A$2:$A$601,$A44,'Theo dõi'!$D$2:$D$601,"Perplexity",'Theo dõi'!$B$2:$B$601,"Q18")-COUNTIFS('Theo dõi'!$A$2:$A$601,$A44,'Theo dõi'!$D$2:$D$601,"Perplexity",'Theo dõi'!$B$2:$B$601,"Q19")-COUNTIFS('Theo dõi'!$A$2:$A$601,$A44,'Theo dõi'!$D$2:$D$601,"Perplexity",'Theo dõi'!$B$2:$B$601,"Q20"))=0,"",(COUNTIFS('Theo dõi'!$A$2:$A$601,$A44,'Theo dõi'!$D$2:$D$601,"Perplexity",'Theo dõi'!$H$2:$H$601,"Có")-COUNTIFS('Theo dõi'!$A$2:$A$601,$A44,'Theo dõi'!$D$2:$D$601,"Perplexity",'Theo dõi'!$H$2:$H$601,"Có",'Theo dõi'!$B$2:$B$601,"Q18")-COUNTIFS('Theo dõi'!$A$2:$A$601,$A44,'Theo dõi'!$D$2:$D$601,"Perplexity",'Theo dõi'!$H$2:$H$601,"Có",'Theo dõi'!$B$2:$B$601,"Q19")-COUNTIFS('Theo dõi'!$A$2:$A$601,$A44,'Theo dõi'!$D$2:$D$601,"Perplexity",'Theo dõi'!$H$2:$H$601,"Có",'Theo dõi'!$B$2:$B$601,"Q20"))/(COUNTIFS('Theo dõi'!$A$2:$A$601,$A44,'Theo dõi'!$D$2:$D$601,"Perplexity")-COUNTIFS('Theo dõi'!$A$2:$A$601,$A44,'Theo dõi'!$D$2:$D$601,"Perplexity",'Theo dõi'!$B$2:$B$601,"Q18")-COUNTIFS('Theo dõi'!$A$2:$A$601,$A44,'Theo dõi'!$D$2:$D$601,"Perplexity",'Theo dõi'!$B$2:$B$601,"Q19")-COUNTIFS('Theo dõi'!$A$2:$A$601,$A44,'Theo dõi'!$D$2:$D$601,"Perplexity",'Theo dõi'!$B$2:$B$601,"Q20")))</f>
        <v/>
      </c>
      <c r="E44" s="16" t="str">
        <f aca="false">IF((COUNTIFS('Theo dõi'!$A$2:$A$601,$A44,'Theo dõi'!$D$2:$D$601,"Gemini")-COUNTIFS('Theo dõi'!$A$2:$A$601,$A44,'Theo dõi'!$D$2:$D$601,"Gemini",'Theo dõi'!$B$2:$B$601,"Q18")-COUNTIFS('Theo dõi'!$A$2:$A$601,$A44,'Theo dõi'!$D$2:$D$601,"Gemini",'Theo dõi'!$B$2:$B$601,"Q19")-COUNTIFS('Theo dõi'!$A$2:$A$601,$A44,'Theo dõi'!$D$2:$D$601,"Gemini",'Theo dõi'!$B$2:$B$601,"Q20"))=0,"",(COUNTIFS('Theo dõi'!$A$2:$A$601,$A44,'Theo dõi'!$D$2:$D$601,"Gemini",'Theo dõi'!$H$2:$H$601,"Có")-COUNTIFS('Theo dõi'!$A$2:$A$601,$A44,'Theo dõi'!$D$2:$D$601,"Gemini",'Theo dõi'!$H$2:$H$601,"Có",'Theo dõi'!$B$2:$B$601,"Q18")-COUNTIFS('Theo dõi'!$A$2:$A$601,$A44,'Theo dõi'!$D$2:$D$601,"Gemini",'Theo dõi'!$H$2:$H$601,"Có",'Theo dõi'!$B$2:$B$601,"Q19")-COUNTIFS('Theo dõi'!$A$2:$A$601,$A44,'Theo dõi'!$D$2:$D$601,"Gemini",'Theo dõi'!$H$2:$H$601,"Có",'Theo dõi'!$B$2:$B$601,"Q20"))/(COUNTIFS('Theo dõi'!$A$2:$A$601,$A44,'Theo dõi'!$D$2:$D$601,"Gemini")-COUNTIFS('Theo dõi'!$A$2:$A$601,$A44,'Theo dõi'!$D$2:$D$601,"Gemini",'Theo dõi'!$B$2:$B$601,"Q18")-COUNTIFS('Theo dõi'!$A$2:$A$601,$A44,'Theo dõi'!$D$2:$D$601,"Gemini",'Theo dõi'!$B$2:$B$601,"Q19")-COUNTIFS('Theo dõi'!$A$2:$A$601,$A44,'Theo dõi'!$D$2:$D$601,"Gemini",'Theo dõi'!$B$2:$B$601,"Q20")))</f>
        <v/>
      </c>
      <c r="F44" s="16" t="str">
        <f aca="false">IF((COUNTIFS('Theo dõi'!$A$2:$A$601,$A44,'Theo dõi'!$D$2:$D$601,"Google AI Overview")-COUNTIFS('Theo dõi'!$A$2:$A$601,$A44,'Theo dõi'!$D$2:$D$601,"Google AI Overview",'Theo dõi'!$B$2:$B$601,"Q18")-COUNTIFS('Theo dõi'!$A$2:$A$601,$A44,'Theo dõi'!$D$2:$D$601,"Google AI Overview",'Theo dõi'!$B$2:$B$601,"Q19")-COUNTIFS('Theo dõi'!$A$2:$A$601,$A44,'Theo dõi'!$D$2:$D$601,"Google AI Overview",'Theo dõi'!$B$2:$B$601,"Q20"))=0,"",(COUNTIFS('Theo dõi'!$A$2:$A$601,$A44,'Theo dõi'!$D$2:$D$601,"Google AI Overview",'Theo dõi'!$H$2:$H$601,"Có")-COUNTIFS('Theo dõi'!$A$2:$A$601,$A44,'Theo dõi'!$D$2:$D$601,"Google AI Overview",'Theo dõi'!$H$2:$H$601,"Có",'Theo dõi'!$B$2:$B$601,"Q18")-COUNTIFS('Theo dõi'!$A$2:$A$601,$A44,'Theo dõi'!$D$2:$D$601,"Google AI Overview",'Theo dõi'!$H$2:$H$601,"Có",'Theo dõi'!$B$2:$B$601,"Q19")-COUNTIFS('Theo dõi'!$A$2:$A$601,$A44,'Theo dõi'!$D$2:$D$601,"Google AI Overview",'Theo dõi'!$H$2:$H$601,"Có",'Theo dõi'!$B$2:$B$601,"Q20"))/(COUNTIFS('Theo dõi'!$A$2:$A$601,$A44,'Theo dõi'!$D$2:$D$601,"Google AI Overview")-COUNTIFS('Theo dõi'!$A$2:$A$601,$A44,'Theo dõi'!$D$2:$D$601,"Google AI Overview",'Theo dõi'!$B$2:$B$601,"Q18")-COUNTIFS('Theo dõi'!$A$2:$A$601,$A44,'Theo dõi'!$D$2:$D$601,"Google AI Overview",'Theo dõi'!$B$2:$B$601,"Q19")-COUNTIFS('Theo dõi'!$A$2:$A$601,$A44,'Theo dõi'!$D$2:$D$601,"Google AI Overview",'Theo dõi'!$B$2:$B$601,"Q20")))</f>
        <v/>
      </c>
      <c r="G44" s="16" t="str">
        <f aca="false">IF((COUNTIFS('Theo dõi'!$A$2:$A$601,$A44,'Theo dõi'!$D$2:$D$601,"Copilot")-COUNTIFS('Theo dõi'!$A$2:$A$601,$A44,'Theo dõi'!$D$2:$D$601,"Copilot",'Theo dõi'!$B$2:$B$601,"Q18")-COUNTIFS('Theo dõi'!$A$2:$A$601,$A44,'Theo dõi'!$D$2:$D$601,"Copilot",'Theo dõi'!$B$2:$B$601,"Q19")-COUNTIFS('Theo dõi'!$A$2:$A$601,$A44,'Theo dõi'!$D$2:$D$601,"Copilot",'Theo dõi'!$B$2:$B$601,"Q20"))=0,"",(COUNTIFS('Theo dõi'!$A$2:$A$601,$A44,'Theo dõi'!$D$2:$D$601,"Copilot",'Theo dõi'!$H$2:$H$601,"Có")-COUNTIFS('Theo dõi'!$A$2:$A$601,$A44,'Theo dõi'!$D$2:$D$601,"Copilot",'Theo dõi'!$H$2:$H$601,"Có",'Theo dõi'!$B$2:$B$601,"Q18")-COUNTIFS('Theo dõi'!$A$2:$A$601,$A44,'Theo dõi'!$D$2:$D$601,"Copilot",'Theo dõi'!$H$2:$H$601,"Có",'Theo dõi'!$B$2:$B$601,"Q19")-COUNTIFS('Theo dõi'!$A$2:$A$601,$A44,'Theo dõi'!$D$2:$D$601,"Copilot",'Theo dõi'!$H$2:$H$601,"Có",'Theo dõi'!$B$2:$B$601,"Q20"))/(COUNTIFS('Theo dõi'!$A$2:$A$601,$A44,'Theo dõi'!$D$2:$D$601,"Copilot")-COUNTIFS('Theo dõi'!$A$2:$A$601,$A44,'Theo dõi'!$D$2:$D$601,"Copilot",'Theo dõi'!$B$2:$B$601,"Q18")-COUNTIFS('Theo dõi'!$A$2:$A$601,$A44,'Theo dõi'!$D$2:$D$601,"Copilot",'Theo dõi'!$B$2:$B$601,"Q19")-COUNTIFS('Theo dõi'!$A$2:$A$601,$A44,'Theo dõi'!$D$2:$D$601,"Copilot",'Theo dõi'!$B$2:$B$601,"Q20")))</f>
        <v/>
      </c>
      <c r="H44" s="17" t="str">
        <f aca="false">IF((COUNTIFS('Theo dõi'!$A$2:$A$601,$A44,'Theo dõi'!$D$2:$D$601,"&lt;&gt;")-COUNTIFS('Theo dõi'!$A$2:$A$601,$A44,'Theo dõi'!$D$2:$D$601,"&lt;&gt;",'Theo dõi'!$B$2:$B$601,"Q18")-COUNTIFS('Theo dõi'!$A$2:$A$601,$A44,'Theo dõi'!$D$2:$D$601,"&lt;&gt;",'Theo dõi'!$B$2:$B$601,"Q19")-COUNTIFS('Theo dõi'!$A$2:$A$601,$A44,'Theo dõi'!$D$2:$D$601,"&lt;&gt;",'Theo dõi'!$B$2:$B$601,"Q20"))=0,"",(COUNTIFS('Theo dõi'!$A$2:$A$601,$A44,'Theo dõi'!$D$2:$D$601,"&lt;&gt;",'Theo dõi'!$H$2:$H$601,"Có")-COUNTIFS('Theo dõi'!$A$2:$A$601,$A44,'Theo dõi'!$D$2:$D$601,"&lt;&gt;",'Theo dõi'!$H$2:$H$601,"Có",'Theo dõi'!$B$2:$B$601,"Q18")-COUNTIFS('Theo dõi'!$A$2:$A$601,$A44,'Theo dõi'!$D$2:$D$601,"&lt;&gt;",'Theo dõi'!$H$2:$H$601,"Có",'Theo dõi'!$B$2:$B$601,"Q19")-COUNTIFS('Theo dõi'!$A$2:$A$601,$A44,'Theo dõi'!$D$2:$D$601,"&lt;&gt;",'Theo dõi'!$H$2:$H$601,"Có",'Theo dõi'!$B$2:$B$601,"Q20"))/(COUNTIFS('Theo dõi'!$A$2:$A$601,$A44,'Theo dõi'!$D$2:$D$601,"&lt;&gt;")-COUNTIFS('Theo dõi'!$A$2:$A$601,$A44,'Theo dõi'!$D$2:$D$601,"&lt;&gt;",'Theo dõi'!$B$2:$B$601,"Q18")-COUNTIFS('Theo dõi'!$A$2:$A$601,$A44,'Theo dõi'!$D$2:$D$601,"&lt;&gt;",'Theo dõi'!$B$2:$B$601,"Q19")-COUNTIFS('Theo dõi'!$A$2:$A$601,$A44,'Theo dõi'!$D$2:$D$601,"&lt;&gt;",'Theo dõi'!$B$2:$B$601,"Q20")))</f>
        <v/>
      </c>
    </row>
    <row r="45" customFormat="false" ht="15" hidden="false" customHeight="false" outlineLevel="0" collapsed="false">
      <c r="A45" s="14" t="s">
        <v>130</v>
      </c>
      <c r="B45" s="15" t="n">
        <f aca="false">COUNTIFS('Theo dõi'!$A$2:$A$601,$A45,'Theo dõi'!$D$2:$D$601,"&lt;&gt;")-COUNTIFS('Theo dõi'!$A$2:$A$601,$A45,'Theo dõi'!$D$2:$D$601,"&lt;&gt;",'Theo dõi'!$B$2:$B$601,"Q18")-COUNTIFS('Theo dõi'!$A$2:$A$601,$A45,'Theo dõi'!$D$2:$D$601,"&lt;&gt;",'Theo dõi'!$B$2:$B$601,"Q19")-COUNTIFS('Theo dõi'!$A$2:$A$601,$A45,'Theo dõi'!$D$2:$D$601,"&lt;&gt;",'Theo dõi'!$B$2:$B$601,"Q20")</f>
        <v>0</v>
      </c>
      <c r="C45" s="16" t="str">
        <f aca="false">IF((COUNTIFS('Theo dõi'!$A$2:$A$601,$A45,'Theo dõi'!$D$2:$D$601,"ChatGPT")-COUNTIFS('Theo dõi'!$A$2:$A$601,$A45,'Theo dõi'!$D$2:$D$601,"ChatGPT",'Theo dõi'!$B$2:$B$601,"Q18")-COUNTIFS('Theo dõi'!$A$2:$A$601,$A45,'Theo dõi'!$D$2:$D$601,"ChatGPT",'Theo dõi'!$B$2:$B$601,"Q19")-COUNTIFS('Theo dõi'!$A$2:$A$601,$A45,'Theo dõi'!$D$2:$D$601,"ChatGPT",'Theo dõi'!$B$2:$B$601,"Q20"))=0,"",(COUNTIFS('Theo dõi'!$A$2:$A$601,$A45,'Theo dõi'!$D$2:$D$601,"ChatGPT",'Theo dõi'!$H$2:$H$601,"Có")-COUNTIFS('Theo dõi'!$A$2:$A$601,$A45,'Theo dõi'!$D$2:$D$601,"ChatGPT",'Theo dõi'!$H$2:$H$601,"Có",'Theo dõi'!$B$2:$B$601,"Q18")-COUNTIFS('Theo dõi'!$A$2:$A$601,$A45,'Theo dõi'!$D$2:$D$601,"ChatGPT",'Theo dõi'!$H$2:$H$601,"Có",'Theo dõi'!$B$2:$B$601,"Q19")-COUNTIFS('Theo dõi'!$A$2:$A$601,$A45,'Theo dõi'!$D$2:$D$601,"ChatGPT",'Theo dõi'!$H$2:$H$601,"Có",'Theo dõi'!$B$2:$B$601,"Q20"))/(COUNTIFS('Theo dõi'!$A$2:$A$601,$A45,'Theo dõi'!$D$2:$D$601,"ChatGPT")-COUNTIFS('Theo dõi'!$A$2:$A$601,$A45,'Theo dõi'!$D$2:$D$601,"ChatGPT",'Theo dõi'!$B$2:$B$601,"Q18")-COUNTIFS('Theo dõi'!$A$2:$A$601,$A45,'Theo dõi'!$D$2:$D$601,"ChatGPT",'Theo dõi'!$B$2:$B$601,"Q19")-COUNTIFS('Theo dõi'!$A$2:$A$601,$A45,'Theo dõi'!$D$2:$D$601,"ChatGPT",'Theo dõi'!$B$2:$B$601,"Q20")))</f>
        <v/>
      </c>
      <c r="D45" s="16" t="str">
        <f aca="false">IF((COUNTIFS('Theo dõi'!$A$2:$A$601,$A45,'Theo dõi'!$D$2:$D$601,"Perplexity")-COUNTIFS('Theo dõi'!$A$2:$A$601,$A45,'Theo dõi'!$D$2:$D$601,"Perplexity",'Theo dõi'!$B$2:$B$601,"Q18")-COUNTIFS('Theo dõi'!$A$2:$A$601,$A45,'Theo dõi'!$D$2:$D$601,"Perplexity",'Theo dõi'!$B$2:$B$601,"Q19")-COUNTIFS('Theo dõi'!$A$2:$A$601,$A45,'Theo dõi'!$D$2:$D$601,"Perplexity",'Theo dõi'!$B$2:$B$601,"Q20"))=0,"",(COUNTIFS('Theo dõi'!$A$2:$A$601,$A45,'Theo dõi'!$D$2:$D$601,"Perplexity",'Theo dõi'!$H$2:$H$601,"Có")-COUNTIFS('Theo dõi'!$A$2:$A$601,$A45,'Theo dõi'!$D$2:$D$601,"Perplexity",'Theo dõi'!$H$2:$H$601,"Có",'Theo dõi'!$B$2:$B$601,"Q18")-COUNTIFS('Theo dõi'!$A$2:$A$601,$A45,'Theo dõi'!$D$2:$D$601,"Perplexity",'Theo dõi'!$H$2:$H$601,"Có",'Theo dõi'!$B$2:$B$601,"Q19")-COUNTIFS('Theo dõi'!$A$2:$A$601,$A45,'Theo dõi'!$D$2:$D$601,"Perplexity",'Theo dõi'!$H$2:$H$601,"Có",'Theo dõi'!$B$2:$B$601,"Q20"))/(COUNTIFS('Theo dõi'!$A$2:$A$601,$A45,'Theo dõi'!$D$2:$D$601,"Perplexity")-COUNTIFS('Theo dõi'!$A$2:$A$601,$A45,'Theo dõi'!$D$2:$D$601,"Perplexity",'Theo dõi'!$B$2:$B$601,"Q18")-COUNTIFS('Theo dõi'!$A$2:$A$601,$A45,'Theo dõi'!$D$2:$D$601,"Perplexity",'Theo dõi'!$B$2:$B$601,"Q19")-COUNTIFS('Theo dõi'!$A$2:$A$601,$A45,'Theo dõi'!$D$2:$D$601,"Perplexity",'Theo dõi'!$B$2:$B$601,"Q20")))</f>
        <v/>
      </c>
      <c r="E45" s="16" t="str">
        <f aca="false">IF((COUNTIFS('Theo dõi'!$A$2:$A$601,$A45,'Theo dõi'!$D$2:$D$601,"Gemini")-COUNTIFS('Theo dõi'!$A$2:$A$601,$A45,'Theo dõi'!$D$2:$D$601,"Gemini",'Theo dõi'!$B$2:$B$601,"Q18")-COUNTIFS('Theo dõi'!$A$2:$A$601,$A45,'Theo dõi'!$D$2:$D$601,"Gemini",'Theo dõi'!$B$2:$B$601,"Q19")-COUNTIFS('Theo dõi'!$A$2:$A$601,$A45,'Theo dõi'!$D$2:$D$601,"Gemini",'Theo dõi'!$B$2:$B$601,"Q20"))=0,"",(COUNTIFS('Theo dõi'!$A$2:$A$601,$A45,'Theo dõi'!$D$2:$D$601,"Gemini",'Theo dõi'!$H$2:$H$601,"Có")-COUNTIFS('Theo dõi'!$A$2:$A$601,$A45,'Theo dõi'!$D$2:$D$601,"Gemini",'Theo dõi'!$H$2:$H$601,"Có",'Theo dõi'!$B$2:$B$601,"Q18")-COUNTIFS('Theo dõi'!$A$2:$A$601,$A45,'Theo dõi'!$D$2:$D$601,"Gemini",'Theo dõi'!$H$2:$H$601,"Có",'Theo dõi'!$B$2:$B$601,"Q19")-COUNTIFS('Theo dõi'!$A$2:$A$601,$A45,'Theo dõi'!$D$2:$D$601,"Gemini",'Theo dõi'!$H$2:$H$601,"Có",'Theo dõi'!$B$2:$B$601,"Q20"))/(COUNTIFS('Theo dõi'!$A$2:$A$601,$A45,'Theo dõi'!$D$2:$D$601,"Gemini")-COUNTIFS('Theo dõi'!$A$2:$A$601,$A45,'Theo dõi'!$D$2:$D$601,"Gemini",'Theo dõi'!$B$2:$B$601,"Q18")-COUNTIFS('Theo dõi'!$A$2:$A$601,$A45,'Theo dõi'!$D$2:$D$601,"Gemini",'Theo dõi'!$B$2:$B$601,"Q19")-COUNTIFS('Theo dõi'!$A$2:$A$601,$A45,'Theo dõi'!$D$2:$D$601,"Gemini",'Theo dõi'!$B$2:$B$601,"Q20")))</f>
        <v/>
      </c>
      <c r="F45" s="16" t="str">
        <f aca="false">IF((COUNTIFS('Theo dõi'!$A$2:$A$601,$A45,'Theo dõi'!$D$2:$D$601,"Google AI Overview")-COUNTIFS('Theo dõi'!$A$2:$A$601,$A45,'Theo dõi'!$D$2:$D$601,"Google AI Overview",'Theo dõi'!$B$2:$B$601,"Q18")-COUNTIFS('Theo dõi'!$A$2:$A$601,$A45,'Theo dõi'!$D$2:$D$601,"Google AI Overview",'Theo dõi'!$B$2:$B$601,"Q19")-COUNTIFS('Theo dõi'!$A$2:$A$601,$A45,'Theo dõi'!$D$2:$D$601,"Google AI Overview",'Theo dõi'!$B$2:$B$601,"Q20"))=0,"",(COUNTIFS('Theo dõi'!$A$2:$A$601,$A45,'Theo dõi'!$D$2:$D$601,"Google AI Overview",'Theo dõi'!$H$2:$H$601,"Có")-COUNTIFS('Theo dõi'!$A$2:$A$601,$A45,'Theo dõi'!$D$2:$D$601,"Google AI Overview",'Theo dõi'!$H$2:$H$601,"Có",'Theo dõi'!$B$2:$B$601,"Q18")-COUNTIFS('Theo dõi'!$A$2:$A$601,$A45,'Theo dõi'!$D$2:$D$601,"Google AI Overview",'Theo dõi'!$H$2:$H$601,"Có",'Theo dõi'!$B$2:$B$601,"Q19")-COUNTIFS('Theo dõi'!$A$2:$A$601,$A45,'Theo dõi'!$D$2:$D$601,"Google AI Overview",'Theo dõi'!$H$2:$H$601,"Có",'Theo dõi'!$B$2:$B$601,"Q20"))/(COUNTIFS('Theo dõi'!$A$2:$A$601,$A45,'Theo dõi'!$D$2:$D$601,"Google AI Overview")-COUNTIFS('Theo dõi'!$A$2:$A$601,$A45,'Theo dõi'!$D$2:$D$601,"Google AI Overview",'Theo dõi'!$B$2:$B$601,"Q18")-COUNTIFS('Theo dõi'!$A$2:$A$601,$A45,'Theo dõi'!$D$2:$D$601,"Google AI Overview",'Theo dõi'!$B$2:$B$601,"Q19")-COUNTIFS('Theo dõi'!$A$2:$A$601,$A45,'Theo dõi'!$D$2:$D$601,"Google AI Overview",'Theo dõi'!$B$2:$B$601,"Q20")))</f>
        <v/>
      </c>
      <c r="G45" s="16" t="str">
        <f aca="false">IF((COUNTIFS('Theo dõi'!$A$2:$A$601,$A45,'Theo dõi'!$D$2:$D$601,"Copilot")-COUNTIFS('Theo dõi'!$A$2:$A$601,$A45,'Theo dõi'!$D$2:$D$601,"Copilot",'Theo dõi'!$B$2:$B$601,"Q18")-COUNTIFS('Theo dõi'!$A$2:$A$601,$A45,'Theo dõi'!$D$2:$D$601,"Copilot",'Theo dõi'!$B$2:$B$601,"Q19")-COUNTIFS('Theo dõi'!$A$2:$A$601,$A45,'Theo dõi'!$D$2:$D$601,"Copilot",'Theo dõi'!$B$2:$B$601,"Q20"))=0,"",(COUNTIFS('Theo dõi'!$A$2:$A$601,$A45,'Theo dõi'!$D$2:$D$601,"Copilot",'Theo dõi'!$H$2:$H$601,"Có")-COUNTIFS('Theo dõi'!$A$2:$A$601,$A45,'Theo dõi'!$D$2:$D$601,"Copilot",'Theo dõi'!$H$2:$H$601,"Có",'Theo dõi'!$B$2:$B$601,"Q18")-COUNTIFS('Theo dõi'!$A$2:$A$601,$A45,'Theo dõi'!$D$2:$D$601,"Copilot",'Theo dõi'!$H$2:$H$601,"Có",'Theo dõi'!$B$2:$B$601,"Q19")-COUNTIFS('Theo dõi'!$A$2:$A$601,$A45,'Theo dõi'!$D$2:$D$601,"Copilot",'Theo dõi'!$H$2:$H$601,"Có",'Theo dõi'!$B$2:$B$601,"Q20"))/(COUNTIFS('Theo dõi'!$A$2:$A$601,$A45,'Theo dõi'!$D$2:$D$601,"Copilot")-COUNTIFS('Theo dõi'!$A$2:$A$601,$A45,'Theo dõi'!$D$2:$D$601,"Copilot",'Theo dõi'!$B$2:$B$601,"Q18")-COUNTIFS('Theo dõi'!$A$2:$A$601,$A45,'Theo dõi'!$D$2:$D$601,"Copilot",'Theo dõi'!$B$2:$B$601,"Q19")-COUNTIFS('Theo dõi'!$A$2:$A$601,$A45,'Theo dõi'!$D$2:$D$601,"Copilot",'Theo dõi'!$B$2:$B$601,"Q20")))</f>
        <v/>
      </c>
      <c r="H45" s="17" t="str">
        <f aca="false">IF((COUNTIFS('Theo dõi'!$A$2:$A$601,$A45,'Theo dõi'!$D$2:$D$601,"&lt;&gt;")-COUNTIFS('Theo dõi'!$A$2:$A$601,$A45,'Theo dõi'!$D$2:$D$601,"&lt;&gt;",'Theo dõi'!$B$2:$B$601,"Q18")-COUNTIFS('Theo dõi'!$A$2:$A$601,$A45,'Theo dõi'!$D$2:$D$601,"&lt;&gt;",'Theo dõi'!$B$2:$B$601,"Q19")-COUNTIFS('Theo dõi'!$A$2:$A$601,$A45,'Theo dõi'!$D$2:$D$601,"&lt;&gt;",'Theo dõi'!$B$2:$B$601,"Q20"))=0,"",(COUNTIFS('Theo dõi'!$A$2:$A$601,$A45,'Theo dõi'!$D$2:$D$601,"&lt;&gt;",'Theo dõi'!$H$2:$H$601,"Có")-COUNTIFS('Theo dõi'!$A$2:$A$601,$A45,'Theo dõi'!$D$2:$D$601,"&lt;&gt;",'Theo dõi'!$H$2:$H$601,"Có",'Theo dõi'!$B$2:$B$601,"Q18")-COUNTIFS('Theo dõi'!$A$2:$A$601,$A45,'Theo dõi'!$D$2:$D$601,"&lt;&gt;",'Theo dõi'!$H$2:$H$601,"Có",'Theo dõi'!$B$2:$B$601,"Q19")-COUNTIFS('Theo dõi'!$A$2:$A$601,$A45,'Theo dõi'!$D$2:$D$601,"&lt;&gt;",'Theo dõi'!$H$2:$H$601,"Có",'Theo dõi'!$B$2:$B$601,"Q20"))/(COUNTIFS('Theo dõi'!$A$2:$A$601,$A45,'Theo dõi'!$D$2:$D$601,"&lt;&gt;")-COUNTIFS('Theo dõi'!$A$2:$A$601,$A45,'Theo dõi'!$D$2:$D$601,"&lt;&gt;",'Theo dõi'!$B$2:$B$601,"Q18")-COUNTIFS('Theo dõi'!$A$2:$A$601,$A45,'Theo dõi'!$D$2:$D$601,"&lt;&gt;",'Theo dõi'!$B$2:$B$601,"Q19")-COUNTIFS('Theo dõi'!$A$2:$A$601,$A45,'Theo dõi'!$D$2:$D$601,"&lt;&gt;",'Theo dõi'!$B$2:$B$601,"Q20")))</f>
        <v/>
      </c>
    </row>
    <row r="46" customFormat="false" ht="15" hidden="false" customHeight="false" outlineLevel="0" collapsed="false">
      <c r="A46" s="14" t="s">
        <v>131</v>
      </c>
      <c r="B46" s="15" t="n">
        <f aca="false">COUNTIFS('Theo dõi'!$A$2:$A$601,$A46,'Theo dõi'!$D$2:$D$601,"&lt;&gt;")-COUNTIFS('Theo dõi'!$A$2:$A$601,$A46,'Theo dõi'!$D$2:$D$601,"&lt;&gt;",'Theo dõi'!$B$2:$B$601,"Q18")-COUNTIFS('Theo dõi'!$A$2:$A$601,$A46,'Theo dõi'!$D$2:$D$601,"&lt;&gt;",'Theo dõi'!$B$2:$B$601,"Q19")-COUNTIFS('Theo dõi'!$A$2:$A$601,$A46,'Theo dõi'!$D$2:$D$601,"&lt;&gt;",'Theo dõi'!$B$2:$B$601,"Q20")</f>
        <v>0</v>
      </c>
      <c r="C46" s="16" t="str">
        <f aca="false">IF((COUNTIFS('Theo dõi'!$A$2:$A$601,$A46,'Theo dõi'!$D$2:$D$601,"ChatGPT")-COUNTIFS('Theo dõi'!$A$2:$A$601,$A46,'Theo dõi'!$D$2:$D$601,"ChatGPT",'Theo dõi'!$B$2:$B$601,"Q18")-COUNTIFS('Theo dõi'!$A$2:$A$601,$A46,'Theo dõi'!$D$2:$D$601,"ChatGPT",'Theo dõi'!$B$2:$B$601,"Q19")-COUNTIFS('Theo dõi'!$A$2:$A$601,$A46,'Theo dõi'!$D$2:$D$601,"ChatGPT",'Theo dõi'!$B$2:$B$601,"Q20"))=0,"",(COUNTIFS('Theo dõi'!$A$2:$A$601,$A46,'Theo dõi'!$D$2:$D$601,"ChatGPT",'Theo dõi'!$H$2:$H$601,"Có")-COUNTIFS('Theo dõi'!$A$2:$A$601,$A46,'Theo dõi'!$D$2:$D$601,"ChatGPT",'Theo dõi'!$H$2:$H$601,"Có",'Theo dõi'!$B$2:$B$601,"Q18")-COUNTIFS('Theo dõi'!$A$2:$A$601,$A46,'Theo dõi'!$D$2:$D$601,"ChatGPT",'Theo dõi'!$H$2:$H$601,"Có",'Theo dõi'!$B$2:$B$601,"Q19")-COUNTIFS('Theo dõi'!$A$2:$A$601,$A46,'Theo dõi'!$D$2:$D$601,"ChatGPT",'Theo dõi'!$H$2:$H$601,"Có",'Theo dõi'!$B$2:$B$601,"Q20"))/(COUNTIFS('Theo dõi'!$A$2:$A$601,$A46,'Theo dõi'!$D$2:$D$601,"ChatGPT")-COUNTIFS('Theo dõi'!$A$2:$A$601,$A46,'Theo dõi'!$D$2:$D$601,"ChatGPT",'Theo dõi'!$B$2:$B$601,"Q18")-COUNTIFS('Theo dõi'!$A$2:$A$601,$A46,'Theo dõi'!$D$2:$D$601,"ChatGPT",'Theo dõi'!$B$2:$B$601,"Q19")-COUNTIFS('Theo dõi'!$A$2:$A$601,$A46,'Theo dõi'!$D$2:$D$601,"ChatGPT",'Theo dõi'!$B$2:$B$601,"Q20")))</f>
        <v/>
      </c>
      <c r="D46" s="16" t="str">
        <f aca="false">IF((COUNTIFS('Theo dõi'!$A$2:$A$601,$A46,'Theo dõi'!$D$2:$D$601,"Perplexity")-COUNTIFS('Theo dõi'!$A$2:$A$601,$A46,'Theo dõi'!$D$2:$D$601,"Perplexity",'Theo dõi'!$B$2:$B$601,"Q18")-COUNTIFS('Theo dõi'!$A$2:$A$601,$A46,'Theo dõi'!$D$2:$D$601,"Perplexity",'Theo dõi'!$B$2:$B$601,"Q19")-COUNTIFS('Theo dõi'!$A$2:$A$601,$A46,'Theo dõi'!$D$2:$D$601,"Perplexity",'Theo dõi'!$B$2:$B$601,"Q20"))=0,"",(COUNTIFS('Theo dõi'!$A$2:$A$601,$A46,'Theo dõi'!$D$2:$D$601,"Perplexity",'Theo dõi'!$H$2:$H$601,"Có")-COUNTIFS('Theo dõi'!$A$2:$A$601,$A46,'Theo dõi'!$D$2:$D$601,"Perplexity",'Theo dõi'!$H$2:$H$601,"Có",'Theo dõi'!$B$2:$B$601,"Q18")-COUNTIFS('Theo dõi'!$A$2:$A$601,$A46,'Theo dõi'!$D$2:$D$601,"Perplexity",'Theo dõi'!$H$2:$H$601,"Có",'Theo dõi'!$B$2:$B$601,"Q19")-COUNTIFS('Theo dõi'!$A$2:$A$601,$A46,'Theo dõi'!$D$2:$D$601,"Perplexity",'Theo dõi'!$H$2:$H$601,"Có",'Theo dõi'!$B$2:$B$601,"Q20"))/(COUNTIFS('Theo dõi'!$A$2:$A$601,$A46,'Theo dõi'!$D$2:$D$601,"Perplexity")-COUNTIFS('Theo dõi'!$A$2:$A$601,$A46,'Theo dõi'!$D$2:$D$601,"Perplexity",'Theo dõi'!$B$2:$B$601,"Q18")-COUNTIFS('Theo dõi'!$A$2:$A$601,$A46,'Theo dõi'!$D$2:$D$601,"Perplexity",'Theo dõi'!$B$2:$B$601,"Q19")-COUNTIFS('Theo dõi'!$A$2:$A$601,$A46,'Theo dõi'!$D$2:$D$601,"Perplexity",'Theo dõi'!$B$2:$B$601,"Q20")))</f>
        <v/>
      </c>
      <c r="E46" s="16" t="str">
        <f aca="false">IF((COUNTIFS('Theo dõi'!$A$2:$A$601,$A46,'Theo dõi'!$D$2:$D$601,"Gemini")-COUNTIFS('Theo dõi'!$A$2:$A$601,$A46,'Theo dõi'!$D$2:$D$601,"Gemini",'Theo dõi'!$B$2:$B$601,"Q18")-COUNTIFS('Theo dõi'!$A$2:$A$601,$A46,'Theo dõi'!$D$2:$D$601,"Gemini",'Theo dõi'!$B$2:$B$601,"Q19")-COUNTIFS('Theo dõi'!$A$2:$A$601,$A46,'Theo dõi'!$D$2:$D$601,"Gemini",'Theo dõi'!$B$2:$B$601,"Q20"))=0,"",(COUNTIFS('Theo dõi'!$A$2:$A$601,$A46,'Theo dõi'!$D$2:$D$601,"Gemini",'Theo dõi'!$H$2:$H$601,"Có")-COUNTIFS('Theo dõi'!$A$2:$A$601,$A46,'Theo dõi'!$D$2:$D$601,"Gemini",'Theo dõi'!$H$2:$H$601,"Có",'Theo dõi'!$B$2:$B$601,"Q18")-COUNTIFS('Theo dõi'!$A$2:$A$601,$A46,'Theo dõi'!$D$2:$D$601,"Gemini",'Theo dõi'!$H$2:$H$601,"Có",'Theo dõi'!$B$2:$B$601,"Q19")-COUNTIFS('Theo dõi'!$A$2:$A$601,$A46,'Theo dõi'!$D$2:$D$601,"Gemini",'Theo dõi'!$H$2:$H$601,"Có",'Theo dõi'!$B$2:$B$601,"Q20"))/(COUNTIFS('Theo dõi'!$A$2:$A$601,$A46,'Theo dõi'!$D$2:$D$601,"Gemini")-COUNTIFS('Theo dõi'!$A$2:$A$601,$A46,'Theo dõi'!$D$2:$D$601,"Gemini",'Theo dõi'!$B$2:$B$601,"Q18")-COUNTIFS('Theo dõi'!$A$2:$A$601,$A46,'Theo dõi'!$D$2:$D$601,"Gemini",'Theo dõi'!$B$2:$B$601,"Q19")-COUNTIFS('Theo dõi'!$A$2:$A$601,$A46,'Theo dõi'!$D$2:$D$601,"Gemini",'Theo dõi'!$B$2:$B$601,"Q20")))</f>
        <v/>
      </c>
      <c r="F46" s="16" t="str">
        <f aca="false">IF((COUNTIFS('Theo dõi'!$A$2:$A$601,$A46,'Theo dõi'!$D$2:$D$601,"Google AI Overview")-COUNTIFS('Theo dõi'!$A$2:$A$601,$A46,'Theo dõi'!$D$2:$D$601,"Google AI Overview",'Theo dõi'!$B$2:$B$601,"Q18")-COUNTIFS('Theo dõi'!$A$2:$A$601,$A46,'Theo dõi'!$D$2:$D$601,"Google AI Overview",'Theo dõi'!$B$2:$B$601,"Q19")-COUNTIFS('Theo dõi'!$A$2:$A$601,$A46,'Theo dõi'!$D$2:$D$601,"Google AI Overview",'Theo dõi'!$B$2:$B$601,"Q20"))=0,"",(COUNTIFS('Theo dõi'!$A$2:$A$601,$A46,'Theo dõi'!$D$2:$D$601,"Google AI Overview",'Theo dõi'!$H$2:$H$601,"Có")-COUNTIFS('Theo dõi'!$A$2:$A$601,$A46,'Theo dõi'!$D$2:$D$601,"Google AI Overview",'Theo dõi'!$H$2:$H$601,"Có",'Theo dõi'!$B$2:$B$601,"Q18")-COUNTIFS('Theo dõi'!$A$2:$A$601,$A46,'Theo dõi'!$D$2:$D$601,"Google AI Overview",'Theo dõi'!$H$2:$H$601,"Có",'Theo dõi'!$B$2:$B$601,"Q19")-COUNTIFS('Theo dõi'!$A$2:$A$601,$A46,'Theo dõi'!$D$2:$D$601,"Google AI Overview",'Theo dõi'!$H$2:$H$601,"Có",'Theo dõi'!$B$2:$B$601,"Q20"))/(COUNTIFS('Theo dõi'!$A$2:$A$601,$A46,'Theo dõi'!$D$2:$D$601,"Google AI Overview")-COUNTIFS('Theo dõi'!$A$2:$A$601,$A46,'Theo dõi'!$D$2:$D$601,"Google AI Overview",'Theo dõi'!$B$2:$B$601,"Q18")-COUNTIFS('Theo dõi'!$A$2:$A$601,$A46,'Theo dõi'!$D$2:$D$601,"Google AI Overview",'Theo dõi'!$B$2:$B$601,"Q19")-COUNTIFS('Theo dõi'!$A$2:$A$601,$A46,'Theo dõi'!$D$2:$D$601,"Google AI Overview",'Theo dõi'!$B$2:$B$601,"Q20")))</f>
        <v/>
      </c>
      <c r="G46" s="16" t="str">
        <f aca="false">IF((COUNTIFS('Theo dõi'!$A$2:$A$601,$A46,'Theo dõi'!$D$2:$D$601,"Copilot")-COUNTIFS('Theo dõi'!$A$2:$A$601,$A46,'Theo dõi'!$D$2:$D$601,"Copilot",'Theo dõi'!$B$2:$B$601,"Q18")-COUNTIFS('Theo dõi'!$A$2:$A$601,$A46,'Theo dõi'!$D$2:$D$601,"Copilot",'Theo dõi'!$B$2:$B$601,"Q19")-COUNTIFS('Theo dõi'!$A$2:$A$601,$A46,'Theo dõi'!$D$2:$D$601,"Copilot",'Theo dõi'!$B$2:$B$601,"Q20"))=0,"",(COUNTIFS('Theo dõi'!$A$2:$A$601,$A46,'Theo dõi'!$D$2:$D$601,"Copilot",'Theo dõi'!$H$2:$H$601,"Có")-COUNTIFS('Theo dõi'!$A$2:$A$601,$A46,'Theo dõi'!$D$2:$D$601,"Copilot",'Theo dõi'!$H$2:$H$601,"Có",'Theo dõi'!$B$2:$B$601,"Q18")-COUNTIFS('Theo dõi'!$A$2:$A$601,$A46,'Theo dõi'!$D$2:$D$601,"Copilot",'Theo dõi'!$H$2:$H$601,"Có",'Theo dõi'!$B$2:$B$601,"Q19")-COUNTIFS('Theo dõi'!$A$2:$A$601,$A46,'Theo dõi'!$D$2:$D$601,"Copilot",'Theo dõi'!$H$2:$H$601,"Có",'Theo dõi'!$B$2:$B$601,"Q20"))/(COUNTIFS('Theo dõi'!$A$2:$A$601,$A46,'Theo dõi'!$D$2:$D$601,"Copilot")-COUNTIFS('Theo dõi'!$A$2:$A$601,$A46,'Theo dõi'!$D$2:$D$601,"Copilot",'Theo dõi'!$B$2:$B$601,"Q18")-COUNTIFS('Theo dõi'!$A$2:$A$601,$A46,'Theo dõi'!$D$2:$D$601,"Copilot",'Theo dõi'!$B$2:$B$601,"Q19")-COUNTIFS('Theo dõi'!$A$2:$A$601,$A46,'Theo dõi'!$D$2:$D$601,"Copilot",'Theo dõi'!$B$2:$B$601,"Q20")))</f>
        <v/>
      </c>
      <c r="H46" s="17" t="str">
        <f aca="false">IF((COUNTIFS('Theo dõi'!$A$2:$A$601,$A46,'Theo dõi'!$D$2:$D$601,"&lt;&gt;")-COUNTIFS('Theo dõi'!$A$2:$A$601,$A46,'Theo dõi'!$D$2:$D$601,"&lt;&gt;",'Theo dõi'!$B$2:$B$601,"Q18")-COUNTIFS('Theo dõi'!$A$2:$A$601,$A46,'Theo dõi'!$D$2:$D$601,"&lt;&gt;",'Theo dõi'!$B$2:$B$601,"Q19")-COUNTIFS('Theo dõi'!$A$2:$A$601,$A46,'Theo dõi'!$D$2:$D$601,"&lt;&gt;",'Theo dõi'!$B$2:$B$601,"Q20"))=0,"",(COUNTIFS('Theo dõi'!$A$2:$A$601,$A46,'Theo dõi'!$D$2:$D$601,"&lt;&gt;",'Theo dõi'!$H$2:$H$601,"Có")-COUNTIFS('Theo dõi'!$A$2:$A$601,$A46,'Theo dõi'!$D$2:$D$601,"&lt;&gt;",'Theo dõi'!$H$2:$H$601,"Có",'Theo dõi'!$B$2:$B$601,"Q18")-COUNTIFS('Theo dõi'!$A$2:$A$601,$A46,'Theo dõi'!$D$2:$D$601,"&lt;&gt;",'Theo dõi'!$H$2:$H$601,"Có",'Theo dõi'!$B$2:$B$601,"Q19")-COUNTIFS('Theo dõi'!$A$2:$A$601,$A46,'Theo dõi'!$D$2:$D$601,"&lt;&gt;",'Theo dõi'!$H$2:$H$601,"Có",'Theo dõi'!$B$2:$B$601,"Q20"))/(COUNTIFS('Theo dõi'!$A$2:$A$601,$A46,'Theo dõi'!$D$2:$D$601,"&lt;&gt;")-COUNTIFS('Theo dõi'!$A$2:$A$601,$A46,'Theo dõi'!$D$2:$D$601,"&lt;&gt;",'Theo dõi'!$B$2:$B$601,"Q18")-COUNTIFS('Theo dõi'!$A$2:$A$601,$A46,'Theo dõi'!$D$2:$D$601,"&lt;&gt;",'Theo dõi'!$B$2:$B$601,"Q19")-COUNTIFS('Theo dõi'!$A$2:$A$601,$A46,'Theo dõi'!$D$2:$D$601,"&lt;&gt;",'Theo dõi'!$B$2:$B$601,"Q20")))</f>
        <v/>
      </c>
    </row>
    <row r="47" customFormat="false" ht="15" hidden="false" customHeight="false" outlineLevel="0" collapsed="false">
      <c r="A47" s="14" t="s">
        <v>132</v>
      </c>
      <c r="B47" s="15" t="n">
        <f aca="false">COUNTIFS('Theo dõi'!$A$2:$A$601,$A47,'Theo dõi'!$D$2:$D$601,"&lt;&gt;")-COUNTIFS('Theo dõi'!$A$2:$A$601,$A47,'Theo dõi'!$D$2:$D$601,"&lt;&gt;",'Theo dõi'!$B$2:$B$601,"Q18")-COUNTIFS('Theo dõi'!$A$2:$A$601,$A47,'Theo dõi'!$D$2:$D$601,"&lt;&gt;",'Theo dõi'!$B$2:$B$601,"Q19")-COUNTIFS('Theo dõi'!$A$2:$A$601,$A47,'Theo dõi'!$D$2:$D$601,"&lt;&gt;",'Theo dõi'!$B$2:$B$601,"Q20")</f>
        <v>0</v>
      </c>
      <c r="C47" s="16" t="str">
        <f aca="false">IF((COUNTIFS('Theo dõi'!$A$2:$A$601,$A47,'Theo dõi'!$D$2:$D$601,"ChatGPT")-COUNTIFS('Theo dõi'!$A$2:$A$601,$A47,'Theo dõi'!$D$2:$D$601,"ChatGPT",'Theo dõi'!$B$2:$B$601,"Q18")-COUNTIFS('Theo dõi'!$A$2:$A$601,$A47,'Theo dõi'!$D$2:$D$601,"ChatGPT",'Theo dõi'!$B$2:$B$601,"Q19")-COUNTIFS('Theo dõi'!$A$2:$A$601,$A47,'Theo dõi'!$D$2:$D$601,"ChatGPT",'Theo dõi'!$B$2:$B$601,"Q20"))=0,"",(COUNTIFS('Theo dõi'!$A$2:$A$601,$A47,'Theo dõi'!$D$2:$D$601,"ChatGPT",'Theo dõi'!$H$2:$H$601,"Có")-COUNTIFS('Theo dõi'!$A$2:$A$601,$A47,'Theo dõi'!$D$2:$D$601,"ChatGPT",'Theo dõi'!$H$2:$H$601,"Có",'Theo dõi'!$B$2:$B$601,"Q18")-COUNTIFS('Theo dõi'!$A$2:$A$601,$A47,'Theo dõi'!$D$2:$D$601,"ChatGPT",'Theo dõi'!$H$2:$H$601,"Có",'Theo dõi'!$B$2:$B$601,"Q19")-COUNTIFS('Theo dõi'!$A$2:$A$601,$A47,'Theo dõi'!$D$2:$D$601,"ChatGPT",'Theo dõi'!$H$2:$H$601,"Có",'Theo dõi'!$B$2:$B$601,"Q20"))/(COUNTIFS('Theo dõi'!$A$2:$A$601,$A47,'Theo dõi'!$D$2:$D$601,"ChatGPT")-COUNTIFS('Theo dõi'!$A$2:$A$601,$A47,'Theo dõi'!$D$2:$D$601,"ChatGPT",'Theo dõi'!$B$2:$B$601,"Q18")-COUNTIFS('Theo dõi'!$A$2:$A$601,$A47,'Theo dõi'!$D$2:$D$601,"ChatGPT",'Theo dõi'!$B$2:$B$601,"Q19")-COUNTIFS('Theo dõi'!$A$2:$A$601,$A47,'Theo dõi'!$D$2:$D$601,"ChatGPT",'Theo dõi'!$B$2:$B$601,"Q20")))</f>
        <v/>
      </c>
      <c r="D47" s="16" t="str">
        <f aca="false">IF((COUNTIFS('Theo dõi'!$A$2:$A$601,$A47,'Theo dõi'!$D$2:$D$601,"Perplexity")-COUNTIFS('Theo dõi'!$A$2:$A$601,$A47,'Theo dõi'!$D$2:$D$601,"Perplexity",'Theo dõi'!$B$2:$B$601,"Q18")-COUNTIFS('Theo dõi'!$A$2:$A$601,$A47,'Theo dõi'!$D$2:$D$601,"Perplexity",'Theo dõi'!$B$2:$B$601,"Q19")-COUNTIFS('Theo dõi'!$A$2:$A$601,$A47,'Theo dõi'!$D$2:$D$601,"Perplexity",'Theo dõi'!$B$2:$B$601,"Q20"))=0,"",(COUNTIFS('Theo dõi'!$A$2:$A$601,$A47,'Theo dõi'!$D$2:$D$601,"Perplexity",'Theo dõi'!$H$2:$H$601,"Có")-COUNTIFS('Theo dõi'!$A$2:$A$601,$A47,'Theo dõi'!$D$2:$D$601,"Perplexity",'Theo dõi'!$H$2:$H$601,"Có",'Theo dõi'!$B$2:$B$601,"Q18")-COUNTIFS('Theo dõi'!$A$2:$A$601,$A47,'Theo dõi'!$D$2:$D$601,"Perplexity",'Theo dõi'!$H$2:$H$601,"Có",'Theo dõi'!$B$2:$B$601,"Q19")-COUNTIFS('Theo dõi'!$A$2:$A$601,$A47,'Theo dõi'!$D$2:$D$601,"Perplexity",'Theo dõi'!$H$2:$H$601,"Có",'Theo dõi'!$B$2:$B$601,"Q20"))/(COUNTIFS('Theo dõi'!$A$2:$A$601,$A47,'Theo dõi'!$D$2:$D$601,"Perplexity")-COUNTIFS('Theo dõi'!$A$2:$A$601,$A47,'Theo dõi'!$D$2:$D$601,"Perplexity",'Theo dõi'!$B$2:$B$601,"Q18")-COUNTIFS('Theo dõi'!$A$2:$A$601,$A47,'Theo dõi'!$D$2:$D$601,"Perplexity",'Theo dõi'!$B$2:$B$601,"Q19")-COUNTIFS('Theo dõi'!$A$2:$A$601,$A47,'Theo dõi'!$D$2:$D$601,"Perplexity",'Theo dõi'!$B$2:$B$601,"Q20")))</f>
        <v/>
      </c>
      <c r="E47" s="16" t="str">
        <f aca="false">IF((COUNTIFS('Theo dõi'!$A$2:$A$601,$A47,'Theo dõi'!$D$2:$D$601,"Gemini")-COUNTIFS('Theo dõi'!$A$2:$A$601,$A47,'Theo dõi'!$D$2:$D$601,"Gemini",'Theo dõi'!$B$2:$B$601,"Q18")-COUNTIFS('Theo dõi'!$A$2:$A$601,$A47,'Theo dõi'!$D$2:$D$601,"Gemini",'Theo dõi'!$B$2:$B$601,"Q19")-COUNTIFS('Theo dõi'!$A$2:$A$601,$A47,'Theo dõi'!$D$2:$D$601,"Gemini",'Theo dõi'!$B$2:$B$601,"Q20"))=0,"",(COUNTIFS('Theo dõi'!$A$2:$A$601,$A47,'Theo dõi'!$D$2:$D$601,"Gemini",'Theo dõi'!$H$2:$H$601,"Có")-COUNTIFS('Theo dõi'!$A$2:$A$601,$A47,'Theo dõi'!$D$2:$D$601,"Gemini",'Theo dõi'!$H$2:$H$601,"Có",'Theo dõi'!$B$2:$B$601,"Q18")-COUNTIFS('Theo dõi'!$A$2:$A$601,$A47,'Theo dõi'!$D$2:$D$601,"Gemini",'Theo dõi'!$H$2:$H$601,"Có",'Theo dõi'!$B$2:$B$601,"Q19")-COUNTIFS('Theo dõi'!$A$2:$A$601,$A47,'Theo dõi'!$D$2:$D$601,"Gemini",'Theo dõi'!$H$2:$H$601,"Có",'Theo dõi'!$B$2:$B$601,"Q20"))/(COUNTIFS('Theo dõi'!$A$2:$A$601,$A47,'Theo dõi'!$D$2:$D$601,"Gemini")-COUNTIFS('Theo dõi'!$A$2:$A$601,$A47,'Theo dõi'!$D$2:$D$601,"Gemini",'Theo dõi'!$B$2:$B$601,"Q18")-COUNTIFS('Theo dõi'!$A$2:$A$601,$A47,'Theo dõi'!$D$2:$D$601,"Gemini",'Theo dõi'!$B$2:$B$601,"Q19")-COUNTIFS('Theo dõi'!$A$2:$A$601,$A47,'Theo dõi'!$D$2:$D$601,"Gemini",'Theo dõi'!$B$2:$B$601,"Q20")))</f>
        <v/>
      </c>
      <c r="F47" s="16" t="str">
        <f aca="false">IF((COUNTIFS('Theo dõi'!$A$2:$A$601,$A47,'Theo dõi'!$D$2:$D$601,"Google AI Overview")-COUNTIFS('Theo dõi'!$A$2:$A$601,$A47,'Theo dõi'!$D$2:$D$601,"Google AI Overview",'Theo dõi'!$B$2:$B$601,"Q18")-COUNTIFS('Theo dõi'!$A$2:$A$601,$A47,'Theo dõi'!$D$2:$D$601,"Google AI Overview",'Theo dõi'!$B$2:$B$601,"Q19")-COUNTIFS('Theo dõi'!$A$2:$A$601,$A47,'Theo dõi'!$D$2:$D$601,"Google AI Overview",'Theo dõi'!$B$2:$B$601,"Q20"))=0,"",(COUNTIFS('Theo dõi'!$A$2:$A$601,$A47,'Theo dõi'!$D$2:$D$601,"Google AI Overview",'Theo dõi'!$H$2:$H$601,"Có")-COUNTIFS('Theo dõi'!$A$2:$A$601,$A47,'Theo dõi'!$D$2:$D$601,"Google AI Overview",'Theo dõi'!$H$2:$H$601,"Có",'Theo dõi'!$B$2:$B$601,"Q18")-COUNTIFS('Theo dõi'!$A$2:$A$601,$A47,'Theo dõi'!$D$2:$D$601,"Google AI Overview",'Theo dõi'!$H$2:$H$601,"Có",'Theo dõi'!$B$2:$B$601,"Q19")-COUNTIFS('Theo dõi'!$A$2:$A$601,$A47,'Theo dõi'!$D$2:$D$601,"Google AI Overview",'Theo dõi'!$H$2:$H$601,"Có",'Theo dõi'!$B$2:$B$601,"Q20"))/(COUNTIFS('Theo dõi'!$A$2:$A$601,$A47,'Theo dõi'!$D$2:$D$601,"Google AI Overview")-COUNTIFS('Theo dõi'!$A$2:$A$601,$A47,'Theo dõi'!$D$2:$D$601,"Google AI Overview",'Theo dõi'!$B$2:$B$601,"Q18")-COUNTIFS('Theo dõi'!$A$2:$A$601,$A47,'Theo dõi'!$D$2:$D$601,"Google AI Overview",'Theo dõi'!$B$2:$B$601,"Q19")-COUNTIFS('Theo dõi'!$A$2:$A$601,$A47,'Theo dõi'!$D$2:$D$601,"Google AI Overview",'Theo dõi'!$B$2:$B$601,"Q20")))</f>
        <v/>
      </c>
      <c r="G47" s="16" t="str">
        <f aca="false">IF((COUNTIFS('Theo dõi'!$A$2:$A$601,$A47,'Theo dõi'!$D$2:$D$601,"Copilot")-COUNTIFS('Theo dõi'!$A$2:$A$601,$A47,'Theo dõi'!$D$2:$D$601,"Copilot",'Theo dõi'!$B$2:$B$601,"Q18")-COUNTIFS('Theo dõi'!$A$2:$A$601,$A47,'Theo dõi'!$D$2:$D$601,"Copilot",'Theo dõi'!$B$2:$B$601,"Q19")-COUNTIFS('Theo dõi'!$A$2:$A$601,$A47,'Theo dõi'!$D$2:$D$601,"Copilot",'Theo dõi'!$B$2:$B$601,"Q20"))=0,"",(COUNTIFS('Theo dõi'!$A$2:$A$601,$A47,'Theo dõi'!$D$2:$D$601,"Copilot",'Theo dõi'!$H$2:$H$601,"Có")-COUNTIFS('Theo dõi'!$A$2:$A$601,$A47,'Theo dõi'!$D$2:$D$601,"Copilot",'Theo dõi'!$H$2:$H$601,"Có",'Theo dõi'!$B$2:$B$601,"Q18")-COUNTIFS('Theo dõi'!$A$2:$A$601,$A47,'Theo dõi'!$D$2:$D$601,"Copilot",'Theo dõi'!$H$2:$H$601,"Có",'Theo dõi'!$B$2:$B$601,"Q19")-COUNTIFS('Theo dõi'!$A$2:$A$601,$A47,'Theo dõi'!$D$2:$D$601,"Copilot",'Theo dõi'!$H$2:$H$601,"Có",'Theo dõi'!$B$2:$B$601,"Q20"))/(COUNTIFS('Theo dõi'!$A$2:$A$601,$A47,'Theo dõi'!$D$2:$D$601,"Copilot")-COUNTIFS('Theo dõi'!$A$2:$A$601,$A47,'Theo dõi'!$D$2:$D$601,"Copilot",'Theo dõi'!$B$2:$B$601,"Q18")-COUNTIFS('Theo dõi'!$A$2:$A$601,$A47,'Theo dõi'!$D$2:$D$601,"Copilot",'Theo dõi'!$B$2:$B$601,"Q19")-COUNTIFS('Theo dõi'!$A$2:$A$601,$A47,'Theo dõi'!$D$2:$D$601,"Copilot",'Theo dõi'!$B$2:$B$601,"Q20")))</f>
        <v/>
      </c>
      <c r="H47" s="17" t="str">
        <f aca="false">IF((COUNTIFS('Theo dõi'!$A$2:$A$601,$A47,'Theo dõi'!$D$2:$D$601,"&lt;&gt;")-COUNTIFS('Theo dõi'!$A$2:$A$601,$A47,'Theo dõi'!$D$2:$D$601,"&lt;&gt;",'Theo dõi'!$B$2:$B$601,"Q18")-COUNTIFS('Theo dõi'!$A$2:$A$601,$A47,'Theo dõi'!$D$2:$D$601,"&lt;&gt;",'Theo dõi'!$B$2:$B$601,"Q19")-COUNTIFS('Theo dõi'!$A$2:$A$601,$A47,'Theo dõi'!$D$2:$D$601,"&lt;&gt;",'Theo dõi'!$B$2:$B$601,"Q20"))=0,"",(COUNTIFS('Theo dõi'!$A$2:$A$601,$A47,'Theo dõi'!$D$2:$D$601,"&lt;&gt;",'Theo dõi'!$H$2:$H$601,"Có")-COUNTIFS('Theo dõi'!$A$2:$A$601,$A47,'Theo dõi'!$D$2:$D$601,"&lt;&gt;",'Theo dõi'!$H$2:$H$601,"Có",'Theo dõi'!$B$2:$B$601,"Q18")-COUNTIFS('Theo dõi'!$A$2:$A$601,$A47,'Theo dõi'!$D$2:$D$601,"&lt;&gt;",'Theo dõi'!$H$2:$H$601,"Có",'Theo dõi'!$B$2:$B$601,"Q19")-COUNTIFS('Theo dõi'!$A$2:$A$601,$A47,'Theo dõi'!$D$2:$D$601,"&lt;&gt;",'Theo dõi'!$H$2:$H$601,"Có",'Theo dõi'!$B$2:$B$601,"Q20"))/(COUNTIFS('Theo dõi'!$A$2:$A$601,$A47,'Theo dõi'!$D$2:$D$601,"&lt;&gt;")-COUNTIFS('Theo dõi'!$A$2:$A$601,$A47,'Theo dõi'!$D$2:$D$601,"&lt;&gt;",'Theo dõi'!$B$2:$B$601,"Q18")-COUNTIFS('Theo dõi'!$A$2:$A$601,$A47,'Theo dõi'!$D$2:$D$601,"&lt;&gt;",'Theo dõi'!$B$2:$B$601,"Q19")-COUNTIFS('Theo dõi'!$A$2:$A$601,$A47,'Theo dõi'!$D$2:$D$601,"&lt;&gt;",'Theo dõi'!$B$2:$B$601,"Q20")))</f>
        <v/>
      </c>
    </row>
    <row r="48" customFormat="false" ht="15" hidden="false" customHeight="false" outlineLevel="0" collapsed="false">
      <c r="A48" s="14" t="s">
        <v>133</v>
      </c>
      <c r="B48" s="15" t="n">
        <f aca="false">COUNTIFS('Theo dõi'!$A$2:$A$601,$A48,'Theo dõi'!$D$2:$D$601,"&lt;&gt;")-COUNTIFS('Theo dõi'!$A$2:$A$601,$A48,'Theo dõi'!$D$2:$D$601,"&lt;&gt;",'Theo dõi'!$B$2:$B$601,"Q18")-COUNTIFS('Theo dõi'!$A$2:$A$601,$A48,'Theo dõi'!$D$2:$D$601,"&lt;&gt;",'Theo dõi'!$B$2:$B$601,"Q19")-COUNTIFS('Theo dõi'!$A$2:$A$601,$A48,'Theo dõi'!$D$2:$D$601,"&lt;&gt;",'Theo dõi'!$B$2:$B$601,"Q20")</f>
        <v>0</v>
      </c>
      <c r="C48" s="16" t="str">
        <f aca="false">IF((COUNTIFS('Theo dõi'!$A$2:$A$601,$A48,'Theo dõi'!$D$2:$D$601,"ChatGPT")-COUNTIFS('Theo dõi'!$A$2:$A$601,$A48,'Theo dõi'!$D$2:$D$601,"ChatGPT",'Theo dõi'!$B$2:$B$601,"Q18")-COUNTIFS('Theo dõi'!$A$2:$A$601,$A48,'Theo dõi'!$D$2:$D$601,"ChatGPT",'Theo dõi'!$B$2:$B$601,"Q19")-COUNTIFS('Theo dõi'!$A$2:$A$601,$A48,'Theo dõi'!$D$2:$D$601,"ChatGPT",'Theo dõi'!$B$2:$B$601,"Q20"))=0,"",(COUNTIFS('Theo dõi'!$A$2:$A$601,$A48,'Theo dõi'!$D$2:$D$601,"ChatGPT",'Theo dõi'!$H$2:$H$601,"Có")-COUNTIFS('Theo dõi'!$A$2:$A$601,$A48,'Theo dõi'!$D$2:$D$601,"ChatGPT",'Theo dõi'!$H$2:$H$601,"Có",'Theo dõi'!$B$2:$B$601,"Q18")-COUNTIFS('Theo dõi'!$A$2:$A$601,$A48,'Theo dõi'!$D$2:$D$601,"ChatGPT",'Theo dõi'!$H$2:$H$601,"Có",'Theo dõi'!$B$2:$B$601,"Q19")-COUNTIFS('Theo dõi'!$A$2:$A$601,$A48,'Theo dõi'!$D$2:$D$601,"ChatGPT",'Theo dõi'!$H$2:$H$601,"Có",'Theo dõi'!$B$2:$B$601,"Q20"))/(COUNTIFS('Theo dõi'!$A$2:$A$601,$A48,'Theo dõi'!$D$2:$D$601,"ChatGPT")-COUNTIFS('Theo dõi'!$A$2:$A$601,$A48,'Theo dõi'!$D$2:$D$601,"ChatGPT",'Theo dõi'!$B$2:$B$601,"Q18")-COUNTIFS('Theo dõi'!$A$2:$A$601,$A48,'Theo dõi'!$D$2:$D$601,"ChatGPT",'Theo dõi'!$B$2:$B$601,"Q19")-COUNTIFS('Theo dõi'!$A$2:$A$601,$A48,'Theo dõi'!$D$2:$D$601,"ChatGPT",'Theo dõi'!$B$2:$B$601,"Q20")))</f>
        <v/>
      </c>
      <c r="D48" s="16" t="str">
        <f aca="false">IF((COUNTIFS('Theo dõi'!$A$2:$A$601,$A48,'Theo dõi'!$D$2:$D$601,"Perplexity")-COUNTIFS('Theo dõi'!$A$2:$A$601,$A48,'Theo dõi'!$D$2:$D$601,"Perplexity",'Theo dõi'!$B$2:$B$601,"Q18")-COUNTIFS('Theo dõi'!$A$2:$A$601,$A48,'Theo dõi'!$D$2:$D$601,"Perplexity",'Theo dõi'!$B$2:$B$601,"Q19")-COUNTIFS('Theo dõi'!$A$2:$A$601,$A48,'Theo dõi'!$D$2:$D$601,"Perplexity",'Theo dõi'!$B$2:$B$601,"Q20"))=0,"",(COUNTIFS('Theo dõi'!$A$2:$A$601,$A48,'Theo dõi'!$D$2:$D$601,"Perplexity",'Theo dõi'!$H$2:$H$601,"Có")-COUNTIFS('Theo dõi'!$A$2:$A$601,$A48,'Theo dõi'!$D$2:$D$601,"Perplexity",'Theo dõi'!$H$2:$H$601,"Có",'Theo dõi'!$B$2:$B$601,"Q18")-COUNTIFS('Theo dõi'!$A$2:$A$601,$A48,'Theo dõi'!$D$2:$D$601,"Perplexity",'Theo dõi'!$H$2:$H$601,"Có",'Theo dõi'!$B$2:$B$601,"Q19")-COUNTIFS('Theo dõi'!$A$2:$A$601,$A48,'Theo dõi'!$D$2:$D$601,"Perplexity",'Theo dõi'!$H$2:$H$601,"Có",'Theo dõi'!$B$2:$B$601,"Q20"))/(COUNTIFS('Theo dõi'!$A$2:$A$601,$A48,'Theo dõi'!$D$2:$D$601,"Perplexity")-COUNTIFS('Theo dõi'!$A$2:$A$601,$A48,'Theo dõi'!$D$2:$D$601,"Perplexity",'Theo dõi'!$B$2:$B$601,"Q18")-COUNTIFS('Theo dõi'!$A$2:$A$601,$A48,'Theo dõi'!$D$2:$D$601,"Perplexity",'Theo dõi'!$B$2:$B$601,"Q19")-COUNTIFS('Theo dõi'!$A$2:$A$601,$A48,'Theo dõi'!$D$2:$D$601,"Perplexity",'Theo dõi'!$B$2:$B$601,"Q20")))</f>
        <v/>
      </c>
      <c r="E48" s="16" t="str">
        <f aca="false">IF((COUNTIFS('Theo dõi'!$A$2:$A$601,$A48,'Theo dõi'!$D$2:$D$601,"Gemini")-COUNTIFS('Theo dõi'!$A$2:$A$601,$A48,'Theo dõi'!$D$2:$D$601,"Gemini",'Theo dõi'!$B$2:$B$601,"Q18")-COUNTIFS('Theo dõi'!$A$2:$A$601,$A48,'Theo dõi'!$D$2:$D$601,"Gemini",'Theo dõi'!$B$2:$B$601,"Q19")-COUNTIFS('Theo dõi'!$A$2:$A$601,$A48,'Theo dõi'!$D$2:$D$601,"Gemini",'Theo dõi'!$B$2:$B$601,"Q20"))=0,"",(COUNTIFS('Theo dõi'!$A$2:$A$601,$A48,'Theo dõi'!$D$2:$D$601,"Gemini",'Theo dõi'!$H$2:$H$601,"Có")-COUNTIFS('Theo dõi'!$A$2:$A$601,$A48,'Theo dõi'!$D$2:$D$601,"Gemini",'Theo dõi'!$H$2:$H$601,"Có",'Theo dõi'!$B$2:$B$601,"Q18")-COUNTIFS('Theo dõi'!$A$2:$A$601,$A48,'Theo dõi'!$D$2:$D$601,"Gemini",'Theo dõi'!$H$2:$H$601,"Có",'Theo dõi'!$B$2:$B$601,"Q19")-COUNTIFS('Theo dõi'!$A$2:$A$601,$A48,'Theo dõi'!$D$2:$D$601,"Gemini",'Theo dõi'!$H$2:$H$601,"Có",'Theo dõi'!$B$2:$B$601,"Q20"))/(COUNTIFS('Theo dõi'!$A$2:$A$601,$A48,'Theo dõi'!$D$2:$D$601,"Gemini")-COUNTIFS('Theo dõi'!$A$2:$A$601,$A48,'Theo dõi'!$D$2:$D$601,"Gemini",'Theo dõi'!$B$2:$B$601,"Q18")-COUNTIFS('Theo dõi'!$A$2:$A$601,$A48,'Theo dõi'!$D$2:$D$601,"Gemini",'Theo dõi'!$B$2:$B$601,"Q19")-COUNTIFS('Theo dõi'!$A$2:$A$601,$A48,'Theo dõi'!$D$2:$D$601,"Gemini",'Theo dõi'!$B$2:$B$601,"Q20")))</f>
        <v/>
      </c>
      <c r="F48" s="16" t="str">
        <f aca="false">IF((COUNTIFS('Theo dõi'!$A$2:$A$601,$A48,'Theo dõi'!$D$2:$D$601,"Google AI Overview")-COUNTIFS('Theo dõi'!$A$2:$A$601,$A48,'Theo dõi'!$D$2:$D$601,"Google AI Overview",'Theo dõi'!$B$2:$B$601,"Q18")-COUNTIFS('Theo dõi'!$A$2:$A$601,$A48,'Theo dõi'!$D$2:$D$601,"Google AI Overview",'Theo dõi'!$B$2:$B$601,"Q19")-COUNTIFS('Theo dõi'!$A$2:$A$601,$A48,'Theo dõi'!$D$2:$D$601,"Google AI Overview",'Theo dõi'!$B$2:$B$601,"Q20"))=0,"",(COUNTIFS('Theo dõi'!$A$2:$A$601,$A48,'Theo dõi'!$D$2:$D$601,"Google AI Overview",'Theo dõi'!$H$2:$H$601,"Có")-COUNTIFS('Theo dõi'!$A$2:$A$601,$A48,'Theo dõi'!$D$2:$D$601,"Google AI Overview",'Theo dõi'!$H$2:$H$601,"Có",'Theo dõi'!$B$2:$B$601,"Q18")-COUNTIFS('Theo dõi'!$A$2:$A$601,$A48,'Theo dõi'!$D$2:$D$601,"Google AI Overview",'Theo dõi'!$H$2:$H$601,"Có",'Theo dõi'!$B$2:$B$601,"Q19")-COUNTIFS('Theo dõi'!$A$2:$A$601,$A48,'Theo dõi'!$D$2:$D$601,"Google AI Overview",'Theo dõi'!$H$2:$H$601,"Có",'Theo dõi'!$B$2:$B$601,"Q20"))/(COUNTIFS('Theo dõi'!$A$2:$A$601,$A48,'Theo dõi'!$D$2:$D$601,"Google AI Overview")-COUNTIFS('Theo dõi'!$A$2:$A$601,$A48,'Theo dõi'!$D$2:$D$601,"Google AI Overview",'Theo dõi'!$B$2:$B$601,"Q18")-COUNTIFS('Theo dõi'!$A$2:$A$601,$A48,'Theo dõi'!$D$2:$D$601,"Google AI Overview",'Theo dõi'!$B$2:$B$601,"Q19")-COUNTIFS('Theo dõi'!$A$2:$A$601,$A48,'Theo dõi'!$D$2:$D$601,"Google AI Overview",'Theo dõi'!$B$2:$B$601,"Q20")))</f>
        <v/>
      </c>
      <c r="G48" s="16" t="str">
        <f aca="false">IF((COUNTIFS('Theo dõi'!$A$2:$A$601,$A48,'Theo dõi'!$D$2:$D$601,"Copilot")-COUNTIFS('Theo dõi'!$A$2:$A$601,$A48,'Theo dõi'!$D$2:$D$601,"Copilot",'Theo dõi'!$B$2:$B$601,"Q18")-COUNTIFS('Theo dõi'!$A$2:$A$601,$A48,'Theo dõi'!$D$2:$D$601,"Copilot",'Theo dõi'!$B$2:$B$601,"Q19")-COUNTIFS('Theo dõi'!$A$2:$A$601,$A48,'Theo dõi'!$D$2:$D$601,"Copilot",'Theo dõi'!$B$2:$B$601,"Q20"))=0,"",(COUNTIFS('Theo dõi'!$A$2:$A$601,$A48,'Theo dõi'!$D$2:$D$601,"Copilot",'Theo dõi'!$H$2:$H$601,"Có")-COUNTIFS('Theo dõi'!$A$2:$A$601,$A48,'Theo dõi'!$D$2:$D$601,"Copilot",'Theo dõi'!$H$2:$H$601,"Có",'Theo dõi'!$B$2:$B$601,"Q18")-COUNTIFS('Theo dõi'!$A$2:$A$601,$A48,'Theo dõi'!$D$2:$D$601,"Copilot",'Theo dõi'!$H$2:$H$601,"Có",'Theo dõi'!$B$2:$B$601,"Q19")-COUNTIFS('Theo dõi'!$A$2:$A$601,$A48,'Theo dõi'!$D$2:$D$601,"Copilot",'Theo dõi'!$H$2:$H$601,"Có",'Theo dõi'!$B$2:$B$601,"Q20"))/(COUNTIFS('Theo dõi'!$A$2:$A$601,$A48,'Theo dõi'!$D$2:$D$601,"Copilot")-COUNTIFS('Theo dõi'!$A$2:$A$601,$A48,'Theo dõi'!$D$2:$D$601,"Copilot",'Theo dõi'!$B$2:$B$601,"Q18")-COUNTIFS('Theo dõi'!$A$2:$A$601,$A48,'Theo dõi'!$D$2:$D$601,"Copilot",'Theo dõi'!$B$2:$B$601,"Q19")-COUNTIFS('Theo dõi'!$A$2:$A$601,$A48,'Theo dõi'!$D$2:$D$601,"Copilot",'Theo dõi'!$B$2:$B$601,"Q20")))</f>
        <v/>
      </c>
      <c r="H48" s="17" t="str">
        <f aca="false">IF((COUNTIFS('Theo dõi'!$A$2:$A$601,$A48,'Theo dõi'!$D$2:$D$601,"&lt;&gt;")-COUNTIFS('Theo dõi'!$A$2:$A$601,$A48,'Theo dõi'!$D$2:$D$601,"&lt;&gt;",'Theo dõi'!$B$2:$B$601,"Q18")-COUNTIFS('Theo dõi'!$A$2:$A$601,$A48,'Theo dõi'!$D$2:$D$601,"&lt;&gt;",'Theo dõi'!$B$2:$B$601,"Q19")-COUNTIFS('Theo dõi'!$A$2:$A$601,$A48,'Theo dõi'!$D$2:$D$601,"&lt;&gt;",'Theo dõi'!$B$2:$B$601,"Q20"))=0,"",(COUNTIFS('Theo dõi'!$A$2:$A$601,$A48,'Theo dõi'!$D$2:$D$601,"&lt;&gt;",'Theo dõi'!$H$2:$H$601,"Có")-COUNTIFS('Theo dõi'!$A$2:$A$601,$A48,'Theo dõi'!$D$2:$D$601,"&lt;&gt;",'Theo dõi'!$H$2:$H$601,"Có",'Theo dõi'!$B$2:$B$601,"Q18")-COUNTIFS('Theo dõi'!$A$2:$A$601,$A48,'Theo dõi'!$D$2:$D$601,"&lt;&gt;",'Theo dõi'!$H$2:$H$601,"Có",'Theo dõi'!$B$2:$B$601,"Q19")-COUNTIFS('Theo dõi'!$A$2:$A$601,$A48,'Theo dõi'!$D$2:$D$601,"&lt;&gt;",'Theo dõi'!$H$2:$H$601,"Có",'Theo dõi'!$B$2:$B$601,"Q20"))/(COUNTIFS('Theo dõi'!$A$2:$A$601,$A48,'Theo dõi'!$D$2:$D$601,"&lt;&gt;")-COUNTIFS('Theo dõi'!$A$2:$A$601,$A48,'Theo dõi'!$D$2:$D$601,"&lt;&gt;",'Theo dõi'!$B$2:$B$601,"Q18")-COUNTIFS('Theo dõi'!$A$2:$A$601,$A48,'Theo dõi'!$D$2:$D$601,"&lt;&gt;",'Theo dõi'!$B$2:$B$601,"Q19")-COUNTIFS('Theo dõi'!$A$2:$A$601,$A48,'Theo dõi'!$D$2:$D$601,"&lt;&gt;",'Theo dõi'!$B$2:$B$601,"Q20")))</f>
        <v/>
      </c>
    </row>
    <row r="49" customFormat="false" ht="15" hidden="false" customHeight="false" outlineLevel="0" collapsed="false">
      <c r="A49" s="14" t="s">
        <v>134</v>
      </c>
      <c r="B49" s="15" t="n">
        <f aca="false">COUNTIFS('Theo dõi'!$A$2:$A$601,$A49,'Theo dõi'!$D$2:$D$601,"&lt;&gt;")-COUNTIFS('Theo dõi'!$A$2:$A$601,$A49,'Theo dõi'!$D$2:$D$601,"&lt;&gt;",'Theo dõi'!$B$2:$B$601,"Q18")-COUNTIFS('Theo dõi'!$A$2:$A$601,$A49,'Theo dõi'!$D$2:$D$601,"&lt;&gt;",'Theo dõi'!$B$2:$B$601,"Q19")-COUNTIFS('Theo dõi'!$A$2:$A$601,$A49,'Theo dõi'!$D$2:$D$601,"&lt;&gt;",'Theo dõi'!$B$2:$B$601,"Q20")</f>
        <v>0</v>
      </c>
      <c r="C49" s="16" t="str">
        <f aca="false">IF((COUNTIFS('Theo dõi'!$A$2:$A$601,$A49,'Theo dõi'!$D$2:$D$601,"ChatGPT")-COUNTIFS('Theo dõi'!$A$2:$A$601,$A49,'Theo dõi'!$D$2:$D$601,"ChatGPT",'Theo dõi'!$B$2:$B$601,"Q18")-COUNTIFS('Theo dõi'!$A$2:$A$601,$A49,'Theo dõi'!$D$2:$D$601,"ChatGPT",'Theo dõi'!$B$2:$B$601,"Q19")-COUNTIFS('Theo dõi'!$A$2:$A$601,$A49,'Theo dõi'!$D$2:$D$601,"ChatGPT",'Theo dõi'!$B$2:$B$601,"Q20"))=0,"",(COUNTIFS('Theo dõi'!$A$2:$A$601,$A49,'Theo dõi'!$D$2:$D$601,"ChatGPT",'Theo dõi'!$H$2:$H$601,"Có")-COUNTIFS('Theo dõi'!$A$2:$A$601,$A49,'Theo dõi'!$D$2:$D$601,"ChatGPT",'Theo dõi'!$H$2:$H$601,"Có",'Theo dõi'!$B$2:$B$601,"Q18")-COUNTIFS('Theo dõi'!$A$2:$A$601,$A49,'Theo dõi'!$D$2:$D$601,"ChatGPT",'Theo dõi'!$H$2:$H$601,"Có",'Theo dõi'!$B$2:$B$601,"Q19")-COUNTIFS('Theo dõi'!$A$2:$A$601,$A49,'Theo dõi'!$D$2:$D$601,"ChatGPT",'Theo dõi'!$H$2:$H$601,"Có",'Theo dõi'!$B$2:$B$601,"Q20"))/(COUNTIFS('Theo dõi'!$A$2:$A$601,$A49,'Theo dõi'!$D$2:$D$601,"ChatGPT")-COUNTIFS('Theo dõi'!$A$2:$A$601,$A49,'Theo dõi'!$D$2:$D$601,"ChatGPT",'Theo dõi'!$B$2:$B$601,"Q18")-COUNTIFS('Theo dõi'!$A$2:$A$601,$A49,'Theo dõi'!$D$2:$D$601,"ChatGPT",'Theo dõi'!$B$2:$B$601,"Q19")-COUNTIFS('Theo dõi'!$A$2:$A$601,$A49,'Theo dõi'!$D$2:$D$601,"ChatGPT",'Theo dõi'!$B$2:$B$601,"Q20")))</f>
        <v/>
      </c>
      <c r="D49" s="16" t="str">
        <f aca="false">IF((COUNTIFS('Theo dõi'!$A$2:$A$601,$A49,'Theo dõi'!$D$2:$D$601,"Perplexity")-COUNTIFS('Theo dõi'!$A$2:$A$601,$A49,'Theo dõi'!$D$2:$D$601,"Perplexity",'Theo dõi'!$B$2:$B$601,"Q18")-COUNTIFS('Theo dõi'!$A$2:$A$601,$A49,'Theo dõi'!$D$2:$D$601,"Perplexity",'Theo dõi'!$B$2:$B$601,"Q19")-COUNTIFS('Theo dõi'!$A$2:$A$601,$A49,'Theo dõi'!$D$2:$D$601,"Perplexity",'Theo dõi'!$B$2:$B$601,"Q20"))=0,"",(COUNTIFS('Theo dõi'!$A$2:$A$601,$A49,'Theo dõi'!$D$2:$D$601,"Perplexity",'Theo dõi'!$H$2:$H$601,"Có")-COUNTIFS('Theo dõi'!$A$2:$A$601,$A49,'Theo dõi'!$D$2:$D$601,"Perplexity",'Theo dõi'!$H$2:$H$601,"Có",'Theo dõi'!$B$2:$B$601,"Q18")-COUNTIFS('Theo dõi'!$A$2:$A$601,$A49,'Theo dõi'!$D$2:$D$601,"Perplexity",'Theo dõi'!$H$2:$H$601,"Có",'Theo dõi'!$B$2:$B$601,"Q19")-COUNTIFS('Theo dõi'!$A$2:$A$601,$A49,'Theo dõi'!$D$2:$D$601,"Perplexity",'Theo dõi'!$H$2:$H$601,"Có",'Theo dõi'!$B$2:$B$601,"Q20"))/(COUNTIFS('Theo dõi'!$A$2:$A$601,$A49,'Theo dõi'!$D$2:$D$601,"Perplexity")-COUNTIFS('Theo dõi'!$A$2:$A$601,$A49,'Theo dõi'!$D$2:$D$601,"Perplexity",'Theo dõi'!$B$2:$B$601,"Q18")-COUNTIFS('Theo dõi'!$A$2:$A$601,$A49,'Theo dõi'!$D$2:$D$601,"Perplexity",'Theo dõi'!$B$2:$B$601,"Q19")-COUNTIFS('Theo dõi'!$A$2:$A$601,$A49,'Theo dõi'!$D$2:$D$601,"Perplexity",'Theo dõi'!$B$2:$B$601,"Q20")))</f>
        <v/>
      </c>
      <c r="E49" s="16" t="str">
        <f aca="false">IF((COUNTIFS('Theo dõi'!$A$2:$A$601,$A49,'Theo dõi'!$D$2:$D$601,"Gemini")-COUNTIFS('Theo dõi'!$A$2:$A$601,$A49,'Theo dõi'!$D$2:$D$601,"Gemini",'Theo dõi'!$B$2:$B$601,"Q18")-COUNTIFS('Theo dõi'!$A$2:$A$601,$A49,'Theo dõi'!$D$2:$D$601,"Gemini",'Theo dõi'!$B$2:$B$601,"Q19")-COUNTIFS('Theo dõi'!$A$2:$A$601,$A49,'Theo dõi'!$D$2:$D$601,"Gemini",'Theo dõi'!$B$2:$B$601,"Q20"))=0,"",(COUNTIFS('Theo dõi'!$A$2:$A$601,$A49,'Theo dõi'!$D$2:$D$601,"Gemini",'Theo dõi'!$H$2:$H$601,"Có")-COUNTIFS('Theo dõi'!$A$2:$A$601,$A49,'Theo dõi'!$D$2:$D$601,"Gemini",'Theo dõi'!$H$2:$H$601,"Có",'Theo dõi'!$B$2:$B$601,"Q18")-COUNTIFS('Theo dõi'!$A$2:$A$601,$A49,'Theo dõi'!$D$2:$D$601,"Gemini",'Theo dõi'!$H$2:$H$601,"Có",'Theo dõi'!$B$2:$B$601,"Q19")-COUNTIFS('Theo dõi'!$A$2:$A$601,$A49,'Theo dõi'!$D$2:$D$601,"Gemini",'Theo dõi'!$H$2:$H$601,"Có",'Theo dõi'!$B$2:$B$601,"Q20"))/(COUNTIFS('Theo dõi'!$A$2:$A$601,$A49,'Theo dõi'!$D$2:$D$601,"Gemini")-COUNTIFS('Theo dõi'!$A$2:$A$601,$A49,'Theo dõi'!$D$2:$D$601,"Gemini",'Theo dõi'!$B$2:$B$601,"Q18")-COUNTIFS('Theo dõi'!$A$2:$A$601,$A49,'Theo dõi'!$D$2:$D$601,"Gemini",'Theo dõi'!$B$2:$B$601,"Q19")-COUNTIFS('Theo dõi'!$A$2:$A$601,$A49,'Theo dõi'!$D$2:$D$601,"Gemini",'Theo dõi'!$B$2:$B$601,"Q20")))</f>
        <v/>
      </c>
      <c r="F49" s="16" t="str">
        <f aca="false">IF((COUNTIFS('Theo dõi'!$A$2:$A$601,$A49,'Theo dõi'!$D$2:$D$601,"Google AI Overview")-COUNTIFS('Theo dõi'!$A$2:$A$601,$A49,'Theo dõi'!$D$2:$D$601,"Google AI Overview",'Theo dõi'!$B$2:$B$601,"Q18")-COUNTIFS('Theo dõi'!$A$2:$A$601,$A49,'Theo dõi'!$D$2:$D$601,"Google AI Overview",'Theo dõi'!$B$2:$B$601,"Q19")-COUNTIFS('Theo dõi'!$A$2:$A$601,$A49,'Theo dõi'!$D$2:$D$601,"Google AI Overview",'Theo dõi'!$B$2:$B$601,"Q20"))=0,"",(COUNTIFS('Theo dõi'!$A$2:$A$601,$A49,'Theo dõi'!$D$2:$D$601,"Google AI Overview",'Theo dõi'!$H$2:$H$601,"Có")-COUNTIFS('Theo dõi'!$A$2:$A$601,$A49,'Theo dõi'!$D$2:$D$601,"Google AI Overview",'Theo dõi'!$H$2:$H$601,"Có",'Theo dõi'!$B$2:$B$601,"Q18")-COUNTIFS('Theo dõi'!$A$2:$A$601,$A49,'Theo dõi'!$D$2:$D$601,"Google AI Overview",'Theo dõi'!$H$2:$H$601,"Có",'Theo dõi'!$B$2:$B$601,"Q19")-COUNTIFS('Theo dõi'!$A$2:$A$601,$A49,'Theo dõi'!$D$2:$D$601,"Google AI Overview",'Theo dõi'!$H$2:$H$601,"Có",'Theo dõi'!$B$2:$B$601,"Q20"))/(COUNTIFS('Theo dõi'!$A$2:$A$601,$A49,'Theo dõi'!$D$2:$D$601,"Google AI Overview")-COUNTIFS('Theo dõi'!$A$2:$A$601,$A49,'Theo dõi'!$D$2:$D$601,"Google AI Overview",'Theo dõi'!$B$2:$B$601,"Q18")-COUNTIFS('Theo dõi'!$A$2:$A$601,$A49,'Theo dõi'!$D$2:$D$601,"Google AI Overview",'Theo dõi'!$B$2:$B$601,"Q19")-COUNTIFS('Theo dõi'!$A$2:$A$601,$A49,'Theo dõi'!$D$2:$D$601,"Google AI Overview",'Theo dõi'!$B$2:$B$601,"Q20")))</f>
        <v/>
      </c>
      <c r="G49" s="16" t="str">
        <f aca="false">IF((COUNTIFS('Theo dõi'!$A$2:$A$601,$A49,'Theo dõi'!$D$2:$D$601,"Copilot")-COUNTIFS('Theo dõi'!$A$2:$A$601,$A49,'Theo dõi'!$D$2:$D$601,"Copilot",'Theo dõi'!$B$2:$B$601,"Q18")-COUNTIFS('Theo dõi'!$A$2:$A$601,$A49,'Theo dõi'!$D$2:$D$601,"Copilot",'Theo dõi'!$B$2:$B$601,"Q19")-COUNTIFS('Theo dõi'!$A$2:$A$601,$A49,'Theo dõi'!$D$2:$D$601,"Copilot",'Theo dõi'!$B$2:$B$601,"Q20"))=0,"",(COUNTIFS('Theo dõi'!$A$2:$A$601,$A49,'Theo dõi'!$D$2:$D$601,"Copilot",'Theo dõi'!$H$2:$H$601,"Có")-COUNTIFS('Theo dõi'!$A$2:$A$601,$A49,'Theo dõi'!$D$2:$D$601,"Copilot",'Theo dõi'!$H$2:$H$601,"Có",'Theo dõi'!$B$2:$B$601,"Q18")-COUNTIFS('Theo dõi'!$A$2:$A$601,$A49,'Theo dõi'!$D$2:$D$601,"Copilot",'Theo dõi'!$H$2:$H$601,"Có",'Theo dõi'!$B$2:$B$601,"Q19")-COUNTIFS('Theo dõi'!$A$2:$A$601,$A49,'Theo dõi'!$D$2:$D$601,"Copilot",'Theo dõi'!$H$2:$H$601,"Có",'Theo dõi'!$B$2:$B$601,"Q20"))/(COUNTIFS('Theo dõi'!$A$2:$A$601,$A49,'Theo dõi'!$D$2:$D$601,"Copilot")-COUNTIFS('Theo dõi'!$A$2:$A$601,$A49,'Theo dõi'!$D$2:$D$601,"Copilot",'Theo dõi'!$B$2:$B$601,"Q18")-COUNTIFS('Theo dõi'!$A$2:$A$601,$A49,'Theo dõi'!$D$2:$D$601,"Copilot",'Theo dõi'!$B$2:$B$601,"Q19")-COUNTIFS('Theo dõi'!$A$2:$A$601,$A49,'Theo dõi'!$D$2:$D$601,"Copilot",'Theo dõi'!$B$2:$B$601,"Q20")))</f>
        <v/>
      </c>
      <c r="H49" s="17" t="str">
        <f aca="false">IF((COUNTIFS('Theo dõi'!$A$2:$A$601,$A49,'Theo dõi'!$D$2:$D$601,"&lt;&gt;")-COUNTIFS('Theo dõi'!$A$2:$A$601,$A49,'Theo dõi'!$D$2:$D$601,"&lt;&gt;",'Theo dõi'!$B$2:$B$601,"Q18")-COUNTIFS('Theo dõi'!$A$2:$A$601,$A49,'Theo dõi'!$D$2:$D$601,"&lt;&gt;",'Theo dõi'!$B$2:$B$601,"Q19")-COUNTIFS('Theo dõi'!$A$2:$A$601,$A49,'Theo dõi'!$D$2:$D$601,"&lt;&gt;",'Theo dõi'!$B$2:$B$601,"Q20"))=0,"",(COUNTIFS('Theo dõi'!$A$2:$A$601,$A49,'Theo dõi'!$D$2:$D$601,"&lt;&gt;",'Theo dõi'!$H$2:$H$601,"Có")-COUNTIFS('Theo dõi'!$A$2:$A$601,$A49,'Theo dõi'!$D$2:$D$601,"&lt;&gt;",'Theo dõi'!$H$2:$H$601,"Có",'Theo dõi'!$B$2:$B$601,"Q18")-COUNTIFS('Theo dõi'!$A$2:$A$601,$A49,'Theo dõi'!$D$2:$D$601,"&lt;&gt;",'Theo dõi'!$H$2:$H$601,"Có",'Theo dõi'!$B$2:$B$601,"Q19")-COUNTIFS('Theo dõi'!$A$2:$A$601,$A49,'Theo dõi'!$D$2:$D$601,"&lt;&gt;",'Theo dõi'!$H$2:$H$601,"Có",'Theo dõi'!$B$2:$B$601,"Q20"))/(COUNTIFS('Theo dõi'!$A$2:$A$601,$A49,'Theo dõi'!$D$2:$D$601,"&lt;&gt;")-COUNTIFS('Theo dõi'!$A$2:$A$601,$A49,'Theo dõi'!$D$2:$D$601,"&lt;&gt;",'Theo dõi'!$B$2:$B$601,"Q18")-COUNTIFS('Theo dõi'!$A$2:$A$601,$A49,'Theo dõi'!$D$2:$D$601,"&lt;&gt;",'Theo dõi'!$B$2:$B$601,"Q19")-COUNTIFS('Theo dõi'!$A$2:$A$601,$A49,'Theo dõi'!$D$2:$D$601,"&lt;&gt;",'Theo dõi'!$B$2:$B$601,"Q20")))</f>
        <v/>
      </c>
    </row>
    <row r="50" customFormat="false" ht="15" hidden="false" customHeight="false" outlineLevel="0" collapsed="false">
      <c r="A50" s="14" t="s">
        <v>135</v>
      </c>
      <c r="B50" s="15" t="n">
        <f aca="false">COUNTIFS('Theo dõi'!$A$2:$A$601,$A50,'Theo dõi'!$D$2:$D$601,"&lt;&gt;")-COUNTIFS('Theo dõi'!$A$2:$A$601,$A50,'Theo dõi'!$D$2:$D$601,"&lt;&gt;",'Theo dõi'!$B$2:$B$601,"Q18")-COUNTIFS('Theo dõi'!$A$2:$A$601,$A50,'Theo dõi'!$D$2:$D$601,"&lt;&gt;",'Theo dõi'!$B$2:$B$601,"Q19")-COUNTIFS('Theo dõi'!$A$2:$A$601,$A50,'Theo dõi'!$D$2:$D$601,"&lt;&gt;",'Theo dõi'!$B$2:$B$601,"Q20")</f>
        <v>0</v>
      </c>
      <c r="C50" s="16" t="str">
        <f aca="false">IF((COUNTIFS('Theo dõi'!$A$2:$A$601,$A50,'Theo dõi'!$D$2:$D$601,"ChatGPT")-COUNTIFS('Theo dõi'!$A$2:$A$601,$A50,'Theo dõi'!$D$2:$D$601,"ChatGPT",'Theo dõi'!$B$2:$B$601,"Q18")-COUNTIFS('Theo dõi'!$A$2:$A$601,$A50,'Theo dõi'!$D$2:$D$601,"ChatGPT",'Theo dõi'!$B$2:$B$601,"Q19")-COUNTIFS('Theo dõi'!$A$2:$A$601,$A50,'Theo dõi'!$D$2:$D$601,"ChatGPT",'Theo dõi'!$B$2:$B$601,"Q20"))=0,"",(COUNTIFS('Theo dõi'!$A$2:$A$601,$A50,'Theo dõi'!$D$2:$D$601,"ChatGPT",'Theo dõi'!$H$2:$H$601,"Có")-COUNTIFS('Theo dõi'!$A$2:$A$601,$A50,'Theo dõi'!$D$2:$D$601,"ChatGPT",'Theo dõi'!$H$2:$H$601,"Có",'Theo dõi'!$B$2:$B$601,"Q18")-COUNTIFS('Theo dõi'!$A$2:$A$601,$A50,'Theo dõi'!$D$2:$D$601,"ChatGPT",'Theo dõi'!$H$2:$H$601,"Có",'Theo dõi'!$B$2:$B$601,"Q19")-COUNTIFS('Theo dõi'!$A$2:$A$601,$A50,'Theo dõi'!$D$2:$D$601,"ChatGPT",'Theo dõi'!$H$2:$H$601,"Có",'Theo dõi'!$B$2:$B$601,"Q20"))/(COUNTIFS('Theo dõi'!$A$2:$A$601,$A50,'Theo dõi'!$D$2:$D$601,"ChatGPT")-COUNTIFS('Theo dõi'!$A$2:$A$601,$A50,'Theo dõi'!$D$2:$D$601,"ChatGPT",'Theo dõi'!$B$2:$B$601,"Q18")-COUNTIFS('Theo dõi'!$A$2:$A$601,$A50,'Theo dõi'!$D$2:$D$601,"ChatGPT",'Theo dõi'!$B$2:$B$601,"Q19")-COUNTIFS('Theo dõi'!$A$2:$A$601,$A50,'Theo dõi'!$D$2:$D$601,"ChatGPT",'Theo dõi'!$B$2:$B$601,"Q20")))</f>
        <v/>
      </c>
      <c r="D50" s="16" t="str">
        <f aca="false">IF((COUNTIFS('Theo dõi'!$A$2:$A$601,$A50,'Theo dõi'!$D$2:$D$601,"Perplexity")-COUNTIFS('Theo dõi'!$A$2:$A$601,$A50,'Theo dõi'!$D$2:$D$601,"Perplexity",'Theo dõi'!$B$2:$B$601,"Q18")-COUNTIFS('Theo dõi'!$A$2:$A$601,$A50,'Theo dõi'!$D$2:$D$601,"Perplexity",'Theo dõi'!$B$2:$B$601,"Q19")-COUNTIFS('Theo dõi'!$A$2:$A$601,$A50,'Theo dõi'!$D$2:$D$601,"Perplexity",'Theo dõi'!$B$2:$B$601,"Q20"))=0,"",(COUNTIFS('Theo dõi'!$A$2:$A$601,$A50,'Theo dõi'!$D$2:$D$601,"Perplexity",'Theo dõi'!$H$2:$H$601,"Có")-COUNTIFS('Theo dõi'!$A$2:$A$601,$A50,'Theo dõi'!$D$2:$D$601,"Perplexity",'Theo dõi'!$H$2:$H$601,"Có",'Theo dõi'!$B$2:$B$601,"Q18")-COUNTIFS('Theo dõi'!$A$2:$A$601,$A50,'Theo dõi'!$D$2:$D$601,"Perplexity",'Theo dõi'!$H$2:$H$601,"Có",'Theo dõi'!$B$2:$B$601,"Q19")-COUNTIFS('Theo dõi'!$A$2:$A$601,$A50,'Theo dõi'!$D$2:$D$601,"Perplexity",'Theo dõi'!$H$2:$H$601,"Có",'Theo dõi'!$B$2:$B$601,"Q20"))/(COUNTIFS('Theo dõi'!$A$2:$A$601,$A50,'Theo dõi'!$D$2:$D$601,"Perplexity")-COUNTIFS('Theo dõi'!$A$2:$A$601,$A50,'Theo dõi'!$D$2:$D$601,"Perplexity",'Theo dõi'!$B$2:$B$601,"Q18")-COUNTIFS('Theo dõi'!$A$2:$A$601,$A50,'Theo dõi'!$D$2:$D$601,"Perplexity",'Theo dõi'!$B$2:$B$601,"Q19")-COUNTIFS('Theo dõi'!$A$2:$A$601,$A50,'Theo dõi'!$D$2:$D$601,"Perplexity",'Theo dõi'!$B$2:$B$601,"Q20")))</f>
        <v/>
      </c>
      <c r="E50" s="16" t="str">
        <f aca="false">IF((COUNTIFS('Theo dõi'!$A$2:$A$601,$A50,'Theo dõi'!$D$2:$D$601,"Gemini")-COUNTIFS('Theo dõi'!$A$2:$A$601,$A50,'Theo dõi'!$D$2:$D$601,"Gemini",'Theo dõi'!$B$2:$B$601,"Q18")-COUNTIFS('Theo dõi'!$A$2:$A$601,$A50,'Theo dõi'!$D$2:$D$601,"Gemini",'Theo dõi'!$B$2:$B$601,"Q19")-COUNTIFS('Theo dõi'!$A$2:$A$601,$A50,'Theo dõi'!$D$2:$D$601,"Gemini",'Theo dõi'!$B$2:$B$601,"Q20"))=0,"",(COUNTIFS('Theo dõi'!$A$2:$A$601,$A50,'Theo dõi'!$D$2:$D$601,"Gemini",'Theo dõi'!$H$2:$H$601,"Có")-COUNTIFS('Theo dõi'!$A$2:$A$601,$A50,'Theo dõi'!$D$2:$D$601,"Gemini",'Theo dõi'!$H$2:$H$601,"Có",'Theo dõi'!$B$2:$B$601,"Q18")-COUNTIFS('Theo dõi'!$A$2:$A$601,$A50,'Theo dõi'!$D$2:$D$601,"Gemini",'Theo dõi'!$H$2:$H$601,"Có",'Theo dõi'!$B$2:$B$601,"Q19")-COUNTIFS('Theo dõi'!$A$2:$A$601,$A50,'Theo dõi'!$D$2:$D$601,"Gemini",'Theo dõi'!$H$2:$H$601,"Có",'Theo dõi'!$B$2:$B$601,"Q20"))/(COUNTIFS('Theo dõi'!$A$2:$A$601,$A50,'Theo dõi'!$D$2:$D$601,"Gemini")-COUNTIFS('Theo dõi'!$A$2:$A$601,$A50,'Theo dõi'!$D$2:$D$601,"Gemini",'Theo dõi'!$B$2:$B$601,"Q18")-COUNTIFS('Theo dõi'!$A$2:$A$601,$A50,'Theo dõi'!$D$2:$D$601,"Gemini",'Theo dõi'!$B$2:$B$601,"Q19")-COUNTIFS('Theo dõi'!$A$2:$A$601,$A50,'Theo dõi'!$D$2:$D$601,"Gemini",'Theo dõi'!$B$2:$B$601,"Q20")))</f>
        <v/>
      </c>
      <c r="F50" s="16" t="str">
        <f aca="false">IF((COUNTIFS('Theo dõi'!$A$2:$A$601,$A50,'Theo dõi'!$D$2:$D$601,"Google AI Overview")-COUNTIFS('Theo dõi'!$A$2:$A$601,$A50,'Theo dõi'!$D$2:$D$601,"Google AI Overview",'Theo dõi'!$B$2:$B$601,"Q18")-COUNTIFS('Theo dõi'!$A$2:$A$601,$A50,'Theo dõi'!$D$2:$D$601,"Google AI Overview",'Theo dõi'!$B$2:$B$601,"Q19")-COUNTIFS('Theo dõi'!$A$2:$A$601,$A50,'Theo dõi'!$D$2:$D$601,"Google AI Overview",'Theo dõi'!$B$2:$B$601,"Q20"))=0,"",(COUNTIFS('Theo dõi'!$A$2:$A$601,$A50,'Theo dõi'!$D$2:$D$601,"Google AI Overview",'Theo dõi'!$H$2:$H$601,"Có")-COUNTIFS('Theo dõi'!$A$2:$A$601,$A50,'Theo dõi'!$D$2:$D$601,"Google AI Overview",'Theo dõi'!$H$2:$H$601,"Có",'Theo dõi'!$B$2:$B$601,"Q18")-COUNTIFS('Theo dõi'!$A$2:$A$601,$A50,'Theo dõi'!$D$2:$D$601,"Google AI Overview",'Theo dõi'!$H$2:$H$601,"Có",'Theo dõi'!$B$2:$B$601,"Q19")-COUNTIFS('Theo dõi'!$A$2:$A$601,$A50,'Theo dõi'!$D$2:$D$601,"Google AI Overview",'Theo dõi'!$H$2:$H$601,"Có",'Theo dõi'!$B$2:$B$601,"Q20"))/(COUNTIFS('Theo dõi'!$A$2:$A$601,$A50,'Theo dõi'!$D$2:$D$601,"Google AI Overview")-COUNTIFS('Theo dõi'!$A$2:$A$601,$A50,'Theo dõi'!$D$2:$D$601,"Google AI Overview",'Theo dõi'!$B$2:$B$601,"Q18")-COUNTIFS('Theo dõi'!$A$2:$A$601,$A50,'Theo dõi'!$D$2:$D$601,"Google AI Overview",'Theo dõi'!$B$2:$B$601,"Q19")-COUNTIFS('Theo dõi'!$A$2:$A$601,$A50,'Theo dõi'!$D$2:$D$601,"Google AI Overview",'Theo dõi'!$B$2:$B$601,"Q20")))</f>
        <v/>
      </c>
      <c r="G50" s="16" t="str">
        <f aca="false">IF((COUNTIFS('Theo dõi'!$A$2:$A$601,$A50,'Theo dõi'!$D$2:$D$601,"Copilot")-COUNTIFS('Theo dõi'!$A$2:$A$601,$A50,'Theo dõi'!$D$2:$D$601,"Copilot",'Theo dõi'!$B$2:$B$601,"Q18")-COUNTIFS('Theo dõi'!$A$2:$A$601,$A50,'Theo dõi'!$D$2:$D$601,"Copilot",'Theo dõi'!$B$2:$B$601,"Q19")-COUNTIFS('Theo dõi'!$A$2:$A$601,$A50,'Theo dõi'!$D$2:$D$601,"Copilot",'Theo dõi'!$B$2:$B$601,"Q20"))=0,"",(COUNTIFS('Theo dõi'!$A$2:$A$601,$A50,'Theo dõi'!$D$2:$D$601,"Copilot",'Theo dõi'!$H$2:$H$601,"Có")-COUNTIFS('Theo dõi'!$A$2:$A$601,$A50,'Theo dõi'!$D$2:$D$601,"Copilot",'Theo dõi'!$H$2:$H$601,"Có",'Theo dõi'!$B$2:$B$601,"Q18")-COUNTIFS('Theo dõi'!$A$2:$A$601,$A50,'Theo dõi'!$D$2:$D$601,"Copilot",'Theo dõi'!$H$2:$H$601,"Có",'Theo dõi'!$B$2:$B$601,"Q19")-COUNTIFS('Theo dõi'!$A$2:$A$601,$A50,'Theo dõi'!$D$2:$D$601,"Copilot",'Theo dõi'!$H$2:$H$601,"Có",'Theo dõi'!$B$2:$B$601,"Q20"))/(COUNTIFS('Theo dõi'!$A$2:$A$601,$A50,'Theo dõi'!$D$2:$D$601,"Copilot")-COUNTIFS('Theo dõi'!$A$2:$A$601,$A50,'Theo dõi'!$D$2:$D$601,"Copilot",'Theo dõi'!$B$2:$B$601,"Q18")-COUNTIFS('Theo dõi'!$A$2:$A$601,$A50,'Theo dõi'!$D$2:$D$601,"Copilot",'Theo dõi'!$B$2:$B$601,"Q19")-COUNTIFS('Theo dõi'!$A$2:$A$601,$A50,'Theo dõi'!$D$2:$D$601,"Copilot",'Theo dõi'!$B$2:$B$601,"Q20")))</f>
        <v/>
      </c>
      <c r="H50" s="17" t="str">
        <f aca="false">IF((COUNTIFS('Theo dõi'!$A$2:$A$601,$A50,'Theo dõi'!$D$2:$D$601,"&lt;&gt;")-COUNTIFS('Theo dõi'!$A$2:$A$601,$A50,'Theo dõi'!$D$2:$D$601,"&lt;&gt;",'Theo dõi'!$B$2:$B$601,"Q18")-COUNTIFS('Theo dõi'!$A$2:$A$601,$A50,'Theo dõi'!$D$2:$D$601,"&lt;&gt;",'Theo dõi'!$B$2:$B$601,"Q19")-COUNTIFS('Theo dõi'!$A$2:$A$601,$A50,'Theo dõi'!$D$2:$D$601,"&lt;&gt;",'Theo dõi'!$B$2:$B$601,"Q20"))=0,"",(COUNTIFS('Theo dõi'!$A$2:$A$601,$A50,'Theo dõi'!$D$2:$D$601,"&lt;&gt;",'Theo dõi'!$H$2:$H$601,"Có")-COUNTIFS('Theo dõi'!$A$2:$A$601,$A50,'Theo dõi'!$D$2:$D$601,"&lt;&gt;",'Theo dõi'!$H$2:$H$601,"Có",'Theo dõi'!$B$2:$B$601,"Q18")-COUNTIFS('Theo dõi'!$A$2:$A$601,$A50,'Theo dõi'!$D$2:$D$601,"&lt;&gt;",'Theo dõi'!$H$2:$H$601,"Có",'Theo dõi'!$B$2:$B$601,"Q19")-COUNTIFS('Theo dõi'!$A$2:$A$601,$A50,'Theo dõi'!$D$2:$D$601,"&lt;&gt;",'Theo dõi'!$H$2:$H$601,"Có",'Theo dõi'!$B$2:$B$601,"Q20"))/(COUNTIFS('Theo dõi'!$A$2:$A$601,$A50,'Theo dõi'!$D$2:$D$601,"&lt;&gt;")-COUNTIFS('Theo dõi'!$A$2:$A$601,$A50,'Theo dõi'!$D$2:$D$601,"&lt;&gt;",'Theo dõi'!$B$2:$B$601,"Q18")-COUNTIFS('Theo dõi'!$A$2:$A$601,$A50,'Theo dõi'!$D$2:$D$601,"&lt;&gt;",'Theo dõi'!$B$2:$B$601,"Q19")-COUNTIFS('Theo dõi'!$A$2:$A$601,$A50,'Theo dõi'!$D$2:$D$601,"&lt;&gt;",'Theo dõi'!$B$2:$B$601,"Q20")))</f>
        <v/>
      </c>
    </row>
    <row r="51" customFormat="false" ht="15" hidden="false" customHeight="false" outlineLevel="0" collapsed="false">
      <c r="A51" s="14" t="s">
        <v>136</v>
      </c>
      <c r="B51" s="15" t="n">
        <f aca="false">COUNTIFS('Theo dõi'!$A$2:$A$601,$A51,'Theo dõi'!$D$2:$D$601,"&lt;&gt;")-COUNTIFS('Theo dõi'!$A$2:$A$601,$A51,'Theo dõi'!$D$2:$D$601,"&lt;&gt;",'Theo dõi'!$B$2:$B$601,"Q18")-COUNTIFS('Theo dõi'!$A$2:$A$601,$A51,'Theo dõi'!$D$2:$D$601,"&lt;&gt;",'Theo dõi'!$B$2:$B$601,"Q19")-COUNTIFS('Theo dõi'!$A$2:$A$601,$A51,'Theo dõi'!$D$2:$D$601,"&lt;&gt;",'Theo dõi'!$B$2:$B$601,"Q20")</f>
        <v>0</v>
      </c>
      <c r="C51" s="16" t="str">
        <f aca="false">IF((COUNTIFS('Theo dõi'!$A$2:$A$601,$A51,'Theo dõi'!$D$2:$D$601,"ChatGPT")-COUNTIFS('Theo dõi'!$A$2:$A$601,$A51,'Theo dõi'!$D$2:$D$601,"ChatGPT",'Theo dõi'!$B$2:$B$601,"Q18")-COUNTIFS('Theo dõi'!$A$2:$A$601,$A51,'Theo dõi'!$D$2:$D$601,"ChatGPT",'Theo dõi'!$B$2:$B$601,"Q19")-COUNTIFS('Theo dõi'!$A$2:$A$601,$A51,'Theo dõi'!$D$2:$D$601,"ChatGPT",'Theo dõi'!$B$2:$B$601,"Q20"))=0,"",(COUNTIFS('Theo dõi'!$A$2:$A$601,$A51,'Theo dõi'!$D$2:$D$601,"ChatGPT",'Theo dõi'!$H$2:$H$601,"Có")-COUNTIFS('Theo dõi'!$A$2:$A$601,$A51,'Theo dõi'!$D$2:$D$601,"ChatGPT",'Theo dõi'!$H$2:$H$601,"Có",'Theo dõi'!$B$2:$B$601,"Q18")-COUNTIFS('Theo dõi'!$A$2:$A$601,$A51,'Theo dõi'!$D$2:$D$601,"ChatGPT",'Theo dõi'!$H$2:$H$601,"Có",'Theo dõi'!$B$2:$B$601,"Q19")-COUNTIFS('Theo dõi'!$A$2:$A$601,$A51,'Theo dõi'!$D$2:$D$601,"ChatGPT",'Theo dõi'!$H$2:$H$601,"Có",'Theo dõi'!$B$2:$B$601,"Q20"))/(COUNTIFS('Theo dõi'!$A$2:$A$601,$A51,'Theo dõi'!$D$2:$D$601,"ChatGPT")-COUNTIFS('Theo dõi'!$A$2:$A$601,$A51,'Theo dõi'!$D$2:$D$601,"ChatGPT",'Theo dõi'!$B$2:$B$601,"Q18")-COUNTIFS('Theo dõi'!$A$2:$A$601,$A51,'Theo dõi'!$D$2:$D$601,"ChatGPT",'Theo dõi'!$B$2:$B$601,"Q19")-COUNTIFS('Theo dõi'!$A$2:$A$601,$A51,'Theo dõi'!$D$2:$D$601,"ChatGPT",'Theo dõi'!$B$2:$B$601,"Q20")))</f>
        <v/>
      </c>
      <c r="D51" s="16" t="str">
        <f aca="false">IF((COUNTIFS('Theo dõi'!$A$2:$A$601,$A51,'Theo dõi'!$D$2:$D$601,"Perplexity")-COUNTIFS('Theo dõi'!$A$2:$A$601,$A51,'Theo dõi'!$D$2:$D$601,"Perplexity",'Theo dõi'!$B$2:$B$601,"Q18")-COUNTIFS('Theo dõi'!$A$2:$A$601,$A51,'Theo dõi'!$D$2:$D$601,"Perplexity",'Theo dõi'!$B$2:$B$601,"Q19")-COUNTIFS('Theo dõi'!$A$2:$A$601,$A51,'Theo dõi'!$D$2:$D$601,"Perplexity",'Theo dõi'!$B$2:$B$601,"Q20"))=0,"",(COUNTIFS('Theo dõi'!$A$2:$A$601,$A51,'Theo dõi'!$D$2:$D$601,"Perplexity",'Theo dõi'!$H$2:$H$601,"Có")-COUNTIFS('Theo dõi'!$A$2:$A$601,$A51,'Theo dõi'!$D$2:$D$601,"Perplexity",'Theo dõi'!$H$2:$H$601,"Có",'Theo dõi'!$B$2:$B$601,"Q18")-COUNTIFS('Theo dõi'!$A$2:$A$601,$A51,'Theo dõi'!$D$2:$D$601,"Perplexity",'Theo dõi'!$H$2:$H$601,"Có",'Theo dõi'!$B$2:$B$601,"Q19")-COUNTIFS('Theo dõi'!$A$2:$A$601,$A51,'Theo dõi'!$D$2:$D$601,"Perplexity",'Theo dõi'!$H$2:$H$601,"Có",'Theo dõi'!$B$2:$B$601,"Q20"))/(COUNTIFS('Theo dõi'!$A$2:$A$601,$A51,'Theo dõi'!$D$2:$D$601,"Perplexity")-COUNTIFS('Theo dõi'!$A$2:$A$601,$A51,'Theo dõi'!$D$2:$D$601,"Perplexity",'Theo dõi'!$B$2:$B$601,"Q18")-COUNTIFS('Theo dõi'!$A$2:$A$601,$A51,'Theo dõi'!$D$2:$D$601,"Perplexity",'Theo dõi'!$B$2:$B$601,"Q19")-COUNTIFS('Theo dõi'!$A$2:$A$601,$A51,'Theo dõi'!$D$2:$D$601,"Perplexity",'Theo dõi'!$B$2:$B$601,"Q20")))</f>
        <v/>
      </c>
      <c r="E51" s="16" t="str">
        <f aca="false">IF((COUNTIFS('Theo dõi'!$A$2:$A$601,$A51,'Theo dõi'!$D$2:$D$601,"Gemini")-COUNTIFS('Theo dõi'!$A$2:$A$601,$A51,'Theo dõi'!$D$2:$D$601,"Gemini",'Theo dõi'!$B$2:$B$601,"Q18")-COUNTIFS('Theo dõi'!$A$2:$A$601,$A51,'Theo dõi'!$D$2:$D$601,"Gemini",'Theo dõi'!$B$2:$B$601,"Q19")-COUNTIFS('Theo dõi'!$A$2:$A$601,$A51,'Theo dõi'!$D$2:$D$601,"Gemini",'Theo dõi'!$B$2:$B$601,"Q20"))=0,"",(COUNTIFS('Theo dõi'!$A$2:$A$601,$A51,'Theo dõi'!$D$2:$D$601,"Gemini",'Theo dõi'!$H$2:$H$601,"Có")-COUNTIFS('Theo dõi'!$A$2:$A$601,$A51,'Theo dõi'!$D$2:$D$601,"Gemini",'Theo dõi'!$H$2:$H$601,"Có",'Theo dõi'!$B$2:$B$601,"Q18")-COUNTIFS('Theo dõi'!$A$2:$A$601,$A51,'Theo dõi'!$D$2:$D$601,"Gemini",'Theo dõi'!$H$2:$H$601,"Có",'Theo dõi'!$B$2:$B$601,"Q19")-COUNTIFS('Theo dõi'!$A$2:$A$601,$A51,'Theo dõi'!$D$2:$D$601,"Gemini",'Theo dõi'!$H$2:$H$601,"Có",'Theo dõi'!$B$2:$B$601,"Q20"))/(COUNTIFS('Theo dõi'!$A$2:$A$601,$A51,'Theo dõi'!$D$2:$D$601,"Gemini")-COUNTIFS('Theo dõi'!$A$2:$A$601,$A51,'Theo dõi'!$D$2:$D$601,"Gemini",'Theo dõi'!$B$2:$B$601,"Q18")-COUNTIFS('Theo dõi'!$A$2:$A$601,$A51,'Theo dõi'!$D$2:$D$601,"Gemini",'Theo dõi'!$B$2:$B$601,"Q19")-COUNTIFS('Theo dõi'!$A$2:$A$601,$A51,'Theo dõi'!$D$2:$D$601,"Gemini",'Theo dõi'!$B$2:$B$601,"Q20")))</f>
        <v/>
      </c>
      <c r="F51" s="16" t="str">
        <f aca="false">IF((COUNTIFS('Theo dõi'!$A$2:$A$601,$A51,'Theo dõi'!$D$2:$D$601,"Google AI Overview")-COUNTIFS('Theo dõi'!$A$2:$A$601,$A51,'Theo dõi'!$D$2:$D$601,"Google AI Overview",'Theo dõi'!$B$2:$B$601,"Q18")-COUNTIFS('Theo dõi'!$A$2:$A$601,$A51,'Theo dõi'!$D$2:$D$601,"Google AI Overview",'Theo dõi'!$B$2:$B$601,"Q19")-COUNTIFS('Theo dõi'!$A$2:$A$601,$A51,'Theo dõi'!$D$2:$D$601,"Google AI Overview",'Theo dõi'!$B$2:$B$601,"Q20"))=0,"",(COUNTIFS('Theo dõi'!$A$2:$A$601,$A51,'Theo dõi'!$D$2:$D$601,"Google AI Overview",'Theo dõi'!$H$2:$H$601,"Có")-COUNTIFS('Theo dõi'!$A$2:$A$601,$A51,'Theo dõi'!$D$2:$D$601,"Google AI Overview",'Theo dõi'!$H$2:$H$601,"Có",'Theo dõi'!$B$2:$B$601,"Q18")-COUNTIFS('Theo dõi'!$A$2:$A$601,$A51,'Theo dõi'!$D$2:$D$601,"Google AI Overview",'Theo dõi'!$H$2:$H$601,"Có",'Theo dõi'!$B$2:$B$601,"Q19")-COUNTIFS('Theo dõi'!$A$2:$A$601,$A51,'Theo dõi'!$D$2:$D$601,"Google AI Overview",'Theo dõi'!$H$2:$H$601,"Có",'Theo dõi'!$B$2:$B$601,"Q20"))/(COUNTIFS('Theo dõi'!$A$2:$A$601,$A51,'Theo dõi'!$D$2:$D$601,"Google AI Overview")-COUNTIFS('Theo dõi'!$A$2:$A$601,$A51,'Theo dõi'!$D$2:$D$601,"Google AI Overview",'Theo dõi'!$B$2:$B$601,"Q18")-COUNTIFS('Theo dõi'!$A$2:$A$601,$A51,'Theo dõi'!$D$2:$D$601,"Google AI Overview",'Theo dõi'!$B$2:$B$601,"Q19")-COUNTIFS('Theo dõi'!$A$2:$A$601,$A51,'Theo dõi'!$D$2:$D$601,"Google AI Overview",'Theo dõi'!$B$2:$B$601,"Q20")))</f>
        <v/>
      </c>
      <c r="G51" s="16" t="str">
        <f aca="false">IF((COUNTIFS('Theo dõi'!$A$2:$A$601,$A51,'Theo dõi'!$D$2:$D$601,"Copilot")-COUNTIFS('Theo dõi'!$A$2:$A$601,$A51,'Theo dõi'!$D$2:$D$601,"Copilot",'Theo dõi'!$B$2:$B$601,"Q18")-COUNTIFS('Theo dõi'!$A$2:$A$601,$A51,'Theo dõi'!$D$2:$D$601,"Copilot",'Theo dõi'!$B$2:$B$601,"Q19")-COUNTIFS('Theo dõi'!$A$2:$A$601,$A51,'Theo dõi'!$D$2:$D$601,"Copilot",'Theo dõi'!$B$2:$B$601,"Q20"))=0,"",(COUNTIFS('Theo dõi'!$A$2:$A$601,$A51,'Theo dõi'!$D$2:$D$601,"Copilot",'Theo dõi'!$H$2:$H$601,"Có")-COUNTIFS('Theo dõi'!$A$2:$A$601,$A51,'Theo dõi'!$D$2:$D$601,"Copilot",'Theo dõi'!$H$2:$H$601,"Có",'Theo dõi'!$B$2:$B$601,"Q18")-COUNTIFS('Theo dõi'!$A$2:$A$601,$A51,'Theo dõi'!$D$2:$D$601,"Copilot",'Theo dõi'!$H$2:$H$601,"Có",'Theo dõi'!$B$2:$B$601,"Q19")-COUNTIFS('Theo dõi'!$A$2:$A$601,$A51,'Theo dõi'!$D$2:$D$601,"Copilot",'Theo dõi'!$H$2:$H$601,"Có",'Theo dõi'!$B$2:$B$601,"Q20"))/(COUNTIFS('Theo dõi'!$A$2:$A$601,$A51,'Theo dõi'!$D$2:$D$601,"Copilot")-COUNTIFS('Theo dõi'!$A$2:$A$601,$A51,'Theo dõi'!$D$2:$D$601,"Copilot",'Theo dõi'!$B$2:$B$601,"Q18")-COUNTIFS('Theo dõi'!$A$2:$A$601,$A51,'Theo dõi'!$D$2:$D$601,"Copilot",'Theo dõi'!$B$2:$B$601,"Q19")-COUNTIFS('Theo dõi'!$A$2:$A$601,$A51,'Theo dõi'!$D$2:$D$601,"Copilot",'Theo dõi'!$B$2:$B$601,"Q20")))</f>
        <v/>
      </c>
      <c r="H51" s="17" t="str">
        <f aca="false">IF((COUNTIFS('Theo dõi'!$A$2:$A$601,$A51,'Theo dõi'!$D$2:$D$601,"&lt;&gt;")-COUNTIFS('Theo dõi'!$A$2:$A$601,$A51,'Theo dõi'!$D$2:$D$601,"&lt;&gt;",'Theo dõi'!$B$2:$B$601,"Q18")-COUNTIFS('Theo dõi'!$A$2:$A$601,$A51,'Theo dõi'!$D$2:$D$601,"&lt;&gt;",'Theo dõi'!$B$2:$B$601,"Q19")-COUNTIFS('Theo dõi'!$A$2:$A$601,$A51,'Theo dõi'!$D$2:$D$601,"&lt;&gt;",'Theo dõi'!$B$2:$B$601,"Q20"))=0,"",(COUNTIFS('Theo dõi'!$A$2:$A$601,$A51,'Theo dõi'!$D$2:$D$601,"&lt;&gt;",'Theo dõi'!$H$2:$H$601,"Có")-COUNTIFS('Theo dõi'!$A$2:$A$601,$A51,'Theo dõi'!$D$2:$D$601,"&lt;&gt;",'Theo dõi'!$H$2:$H$601,"Có",'Theo dõi'!$B$2:$B$601,"Q18")-COUNTIFS('Theo dõi'!$A$2:$A$601,$A51,'Theo dõi'!$D$2:$D$601,"&lt;&gt;",'Theo dõi'!$H$2:$H$601,"Có",'Theo dõi'!$B$2:$B$601,"Q19")-COUNTIFS('Theo dõi'!$A$2:$A$601,$A51,'Theo dõi'!$D$2:$D$601,"&lt;&gt;",'Theo dõi'!$H$2:$H$601,"Có",'Theo dõi'!$B$2:$B$601,"Q20"))/(COUNTIFS('Theo dõi'!$A$2:$A$601,$A51,'Theo dõi'!$D$2:$D$601,"&lt;&gt;")-COUNTIFS('Theo dõi'!$A$2:$A$601,$A51,'Theo dõi'!$D$2:$D$601,"&lt;&gt;",'Theo dõi'!$B$2:$B$601,"Q18")-COUNTIFS('Theo dõi'!$A$2:$A$601,$A51,'Theo dõi'!$D$2:$D$601,"&lt;&gt;",'Theo dõi'!$B$2:$B$601,"Q19")-COUNTIFS('Theo dõi'!$A$2:$A$601,$A51,'Theo dõi'!$D$2:$D$601,"&lt;&gt;",'Theo dõi'!$B$2:$B$601,"Q20")))</f>
        <v/>
      </c>
    </row>
    <row r="52" customFormat="false" ht="15" hidden="false" customHeight="false" outlineLevel="0" collapsed="false">
      <c r="A52" s="14" t="s">
        <v>137</v>
      </c>
      <c r="B52" s="15" t="n">
        <f aca="false">COUNTIFS('Theo dõi'!$A$2:$A$601,$A52,'Theo dõi'!$D$2:$D$601,"&lt;&gt;")-COUNTIFS('Theo dõi'!$A$2:$A$601,$A52,'Theo dõi'!$D$2:$D$601,"&lt;&gt;",'Theo dõi'!$B$2:$B$601,"Q18")-COUNTIFS('Theo dõi'!$A$2:$A$601,$A52,'Theo dõi'!$D$2:$D$601,"&lt;&gt;",'Theo dõi'!$B$2:$B$601,"Q19")-COUNTIFS('Theo dõi'!$A$2:$A$601,$A52,'Theo dõi'!$D$2:$D$601,"&lt;&gt;",'Theo dõi'!$B$2:$B$601,"Q20")</f>
        <v>0</v>
      </c>
      <c r="C52" s="16" t="str">
        <f aca="false">IF((COUNTIFS('Theo dõi'!$A$2:$A$601,$A52,'Theo dõi'!$D$2:$D$601,"ChatGPT")-COUNTIFS('Theo dõi'!$A$2:$A$601,$A52,'Theo dõi'!$D$2:$D$601,"ChatGPT",'Theo dõi'!$B$2:$B$601,"Q18")-COUNTIFS('Theo dõi'!$A$2:$A$601,$A52,'Theo dõi'!$D$2:$D$601,"ChatGPT",'Theo dõi'!$B$2:$B$601,"Q19")-COUNTIFS('Theo dõi'!$A$2:$A$601,$A52,'Theo dõi'!$D$2:$D$601,"ChatGPT",'Theo dõi'!$B$2:$B$601,"Q20"))=0,"",(COUNTIFS('Theo dõi'!$A$2:$A$601,$A52,'Theo dõi'!$D$2:$D$601,"ChatGPT",'Theo dõi'!$H$2:$H$601,"Có")-COUNTIFS('Theo dõi'!$A$2:$A$601,$A52,'Theo dõi'!$D$2:$D$601,"ChatGPT",'Theo dõi'!$H$2:$H$601,"Có",'Theo dõi'!$B$2:$B$601,"Q18")-COUNTIFS('Theo dõi'!$A$2:$A$601,$A52,'Theo dõi'!$D$2:$D$601,"ChatGPT",'Theo dõi'!$H$2:$H$601,"Có",'Theo dõi'!$B$2:$B$601,"Q19")-COUNTIFS('Theo dõi'!$A$2:$A$601,$A52,'Theo dõi'!$D$2:$D$601,"ChatGPT",'Theo dõi'!$H$2:$H$601,"Có",'Theo dõi'!$B$2:$B$601,"Q20"))/(COUNTIFS('Theo dõi'!$A$2:$A$601,$A52,'Theo dõi'!$D$2:$D$601,"ChatGPT")-COUNTIFS('Theo dõi'!$A$2:$A$601,$A52,'Theo dõi'!$D$2:$D$601,"ChatGPT",'Theo dõi'!$B$2:$B$601,"Q18")-COUNTIFS('Theo dõi'!$A$2:$A$601,$A52,'Theo dõi'!$D$2:$D$601,"ChatGPT",'Theo dõi'!$B$2:$B$601,"Q19")-COUNTIFS('Theo dõi'!$A$2:$A$601,$A52,'Theo dõi'!$D$2:$D$601,"ChatGPT",'Theo dõi'!$B$2:$B$601,"Q20")))</f>
        <v/>
      </c>
      <c r="D52" s="16" t="str">
        <f aca="false">IF((COUNTIFS('Theo dõi'!$A$2:$A$601,$A52,'Theo dõi'!$D$2:$D$601,"Perplexity")-COUNTIFS('Theo dõi'!$A$2:$A$601,$A52,'Theo dõi'!$D$2:$D$601,"Perplexity",'Theo dõi'!$B$2:$B$601,"Q18")-COUNTIFS('Theo dõi'!$A$2:$A$601,$A52,'Theo dõi'!$D$2:$D$601,"Perplexity",'Theo dõi'!$B$2:$B$601,"Q19")-COUNTIFS('Theo dõi'!$A$2:$A$601,$A52,'Theo dõi'!$D$2:$D$601,"Perplexity",'Theo dõi'!$B$2:$B$601,"Q20"))=0,"",(COUNTIFS('Theo dõi'!$A$2:$A$601,$A52,'Theo dõi'!$D$2:$D$601,"Perplexity",'Theo dõi'!$H$2:$H$601,"Có")-COUNTIFS('Theo dõi'!$A$2:$A$601,$A52,'Theo dõi'!$D$2:$D$601,"Perplexity",'Theo dõi'!$H$2:$H$601,"Có",'Theo dõi'!$B$2:$B$601,"Q18")-COUNTIFS('Theo dõi'!$A$2:$A$601,$A52,'Theo dõi'!$D$2:$D$601,"Perplexity",'Theo dõi'!$H$2:$H$601,"Có",'Theo dõi'!$B$2:$B$601,"Q19")-COUNTIFS('Theo dõi'!$A$2:$A$601,$A52,'Theo dõi'!$D$2:$D$601,"Perplexity",'Theo dõi'!$H$2:$H$601,"Có",'Theo dõi'!$B$2:$B$601,"Q20"))/(COUNTIFS('Theo dõi'!$A$2:$A$601,$A52,'Theo dõi'!$D$2:$D$601,"Perplexity")-COUNTIFS('Theo dõi'!$A$2:$A$601,$A52,'Theo dõi'!$D$2:$D$601,"Perplexity",'Theo dõi'!$B$2:$B$601,"Q18")-COUNTIFS('Theo dõi'!$A$2:$A$601,$A52,'Theo dõi'!$D$2:$D$601,"Perplexity",'Theo dõi'!$B$2:$B$601,"Q19")-COUNTIFS('Theo dõi'!$A$2:$A$601,$A52,'Theo dõi'!$D$2:$D$601,"Perplexity",'Theo dõi'!$B$2:$B$601,"Q20")))</f>
        <v/>
      </c>
      <c r="E52" s="16" t="str">
        <f aca="false">IF((COUNTIFS('Theo dõi'!$A$2:$A$601,$A52,'Theo dõi'!$D$2:$D$601,"Gemini")-COUNTIFS('Theo dõi'!$A$2:$A$601,$A52,'Theo dõi'!$D$2:$D$601,"Gemini",'Theo dõi'!$B$2:$B$601,"Q18")-COUNTIFS('Theo dõi'!$A$2:$A$601,$A52,'Theo dõi'!$D$2:$D$601,"Gemini",'Theo dõi'!$B$2:$B$601,"Q19")-COUNTIFS('Theo dõi'!$A$2:$A$601,$A52,'Theo dõi'!$D$2:$D$601,"Gemini",'Theo dõi'!$B$2:$B$601,"Q20"))=0,"",(COUNTIFS('Theo dõi'!$A$2:$A$601,$A52,'Theo dõi'!$D$2:$D$601,"Gemini",'Theo dõi'!$H$2:$H$601,"Có")-COUNTIFS('Theo dõi'!$A$2:$A$601,$A52,'Theo dõi'!$D$2:$D$601,"Gemini",'Theo dõi'!$H$2:$H$601,"Có",'Theo dõi'!$B$2:$B$601,"Q18")-COUNTIFS('Theo dõi'!$A$2:$A$601,$A52,'Theo dõi'!$D$2:$D$601,"Gemini",'Theo dõi'!$H$2:$H$601,"Có",'Theo dõi'!$B$2:$B$601,"Q19")-COUNTIFS('Theo dõi'!$A$2:$A$601,$A52,'Theo dõi'!$D$2:$D$601,"Gemini",'Theo dõi'!$H$2:$H$601,"Có",'Theo dõi'!$B$2:$B$601,"Q20"))/(COUNTIFS('Theo dõi'!$A$2:$A$601,$A52,'Theo dõi'!$D$2:$D$601,"Gemini")-COUNTIFS('Theo dõi'!$A$2:$A$601,$A52,'Theo dõi'!$D$2:$D$601,"Gemini",'Theo dõi'!$B$2:$B$601,"Q18")-COUNTIFS('Theo dõi'!$A$2:$A$601,$A52,'Theo dõi'!$D$2:$D$601,"Gemini",'Theo dõi'!$B$2:$B$601,"Q19")-COUNTIFS('Theo dõi'!$A$2:$A$601,$A52,'Theo dõi'!$D$2:$D$601,"Gemini",'Theo dõi'!$B$2:$B$601,"Q20")))</f>
        <v/>
      </c>
      <c r="F52" s="16" t="str">
        <f aca="false">IF((COUNTIFS('Theo dõi'!$A$2:$A$601,$A52,'Theo dõi'!$D$2:$D$601,"Google AI Overview")-COUNTIFS('Theo dõi'!$A$2:$A$601,$A52,'Theo dõi'!$D$2:$D$601,"Google AI Overview",'Theo dõi'!$B$2:$B$601,"Q18")-COUNTIFS('Theo dõi'!$A$2:$A$601,$A52,'Theo dõi'!$D$2:$D$601,"Google AI Overview",'Theo dõi'!$B$2:$B$601,"Q19")-COUNTIFS('Theo dõi'!$A$2:$A$601,$A52,'Theo dõi'!$D$2:$D$601,"Google AI Overview",'Theo dõi'!$B$2:$B$601,"Q20"))=0,"",(COUNTIFS('Theo dõi'!$A$2:$A$601,$A52,'Theo dõi'!$D$2:$D$601,"Google AI Overview",'Theo dõi'!$H$2:$H$601,"Có")-COUNTIFS('Theo dõi'!$A$2:$A$601,$A52,'Theo dõi'!$D$2:$D$601,"Google AI Overview",'Theo dõi'!$H$2:$H$601,"Có",'Theo dõi'!$B$2:$B$601,"Q18")-COUNTIFS('Theo dõi'!$A$2:$A$601,$A52,'Theo dõi'!$D$2:$D$601,"Google AI Overview",'Theo dõi'!$H$2:$H$601,"Có",'Theo dõi'!$B$2:$B$601,"Q19")-COUNTIFS('Theo dõi'!$A$2:$A$601,$A52,'Theo dõi'!$D$2:$D$601,"Google AI Overview",'Theo dõi'!$H$2:$H$601,"Có",'Theo dõi'!$B$2:$B$601,"Q20"))/(COUNTIFS('Theo dõi'!$A$2:$A$601,$A52,'Theo dõi'!$D$2:$D$601,"Google AI Overview")-COUNTIFS('Theo dõi'!$A$2:$A$601,$A52,'Theo dõi'!$D$2:$D$601,"Google AI Overview",'Theo dõi'!$B$2:$B$601,"Q18")-COUNTIFS('Theo dõi'!$A$2:$A$601,$A52,'Theo dõi'!$D$2:$D$601,"Google AI Overview",'Theo dõi'!$B$2:$B$601,"Q19")-COUNTIFS('Theo dõi'!$A$2:$A$601,$A52,'Theo dõi'!$D$2:$D$601,"Google AI Overview",'Theo dõi'!$B$2:$B$601,"Q20")))</f>
        <v/>
      </c>
      <c r="G52" s="16" t="str">
        <f aca="false">IF((COUNTIFS('Theo dõi'!$A$2:$A$601,$A52,'Theo dõi'!$D$2:$D$601,"Copilot")-COUNTIFS('Theo dõi'!$A$2:$A$601,$A52,'Theo dõi'!$D$2:$D$601,"Copilot",'Theo dõi'!$B$2:$B$601,"Q18")-COUNTIFS('Theo dõi'!$A$2:$A$601,$A52,'Theo dõi'!$D$2:$D$601,"Copilot",'Theo dõi'!$B$2:$B$601,"Q19")-COUNTIFS('Theo dõi'!$A$2:$A$601,$A52,'Theo dõi'!$D$2:$D$601,"Copilot",'Theo dõi'!$B$2:$B$601,"Q20"))=0,"",(COUNTIFS('Theo dõi'!$A$2:$A$601,$A52,'Theo dõi'!$D$2:$D$601,"Copilot",'Theo dõi'!$H$2:$H$601,"Có")-COUNTIFS('Theo dõi'!$A$2:$A$601,$A52,'Theo dõi'!$D$2:$D$601,"Copilot",'Theo dõi'!$H$2:$H$601,"Có",'Theo dõi'!$B$2:$B$601,"Q18")-COUNTIFS('Theo dõi'!$A$2:$A$601,$A52,'Theo dõi'!$D$2:$D$601,"Copilot",'Theo dõi'!$H$2:$H$601,"Có",'Theo dõi'!$B$2:$B$601,"Q19")-COUNTIFS('Theo dõi'!$A$2:$A$601,$A52,'Theo dõi'!$D$2:$D$601,"Copilot",'Theo dõi'!$H$2:$H$601,"Có",'Theo dõi'!$B$2:$B$601,"Q20"))/(COUNTIFS('Theo dõi'!$A$2:$A$601,$A52,'Theo dõi'!$D$2:$D$601,"Copilot")-COUNTIFS('Theo dõi'!$A$2:$A$601,$A52,'Theo dõi'!$D$2:$D$601,"Copilot",'Theo dõi'!$B$2:$B$601,"Q18")-COUNTIFS('Theo dõi'!$A$2:$A$601,$A52,'Theo dõi'!$D$2:$D$601,"Copilot",'Theo dõi'!$B$2:$B$601,"Q19")-COUNTIFS('Theo dõi'!$A$2:$A$601,$A52,'Theo dõi'!$D$2:$D$601,"Copilot",'Theo dõi'!$B$2:$B$601,"Q20")))</f>
        <v/>
      </c>
      <c r="H52" s="17" t="str">
        <f aca="false">IF((COUNTIFS('Theo dõi'!$A$2:$A$601,$A52,'Theo dõi'!$D$2:$D$601,"&lt;&gt;")-COUNTIFS('Theo dõi'!$A$2:$A$601,$A52,'Theo dõi'!$D$2:$D$601,"&lt;&gt;",'Theo dõi'!$B$2:$B$601,"Q18")-COUNTIFS('Theo dõi'!$A$2:$A$601,$A52,'Theo dõi'!$D$2:$D$601,"&lt;&gt;",'Theo dõi'!$B$2:$B$601,"Q19")-COUNTIFS('Theo dõi'!$A$2:$A$601,$A52,'Theo dõi'!$D$2:$D$601,"&lt;&gt;",'Theo dõi'!$B$2:$B$601,"Q20"))=0,"",(COUNTIFS('Theo dõi'!$A$2:$A$601,$A52,'Theo dõi'!$D$2:$D$601,"&lt;&gt;",'Theo dõi'!$H$2:$H$601,"Có")-COUNTIFS('Theo dõi'!$A$2:$A$601,$A52,'Theo dõi'!$D$2:$D$601,"&lt;&gt;",'Theo dõi'!$H$2:$H$601,"Có",'Theo dõi'!$B$2:$B$601,"Q18")-COUNTIFS('Theo dõi'!$A$2:$A$601,$A52,'Theo dõi'!$D$2:$D$601,"&lt;&gt;",'Theo dõi'!$H$2:$H$601,"Có",'Theo dõi'!$B$2:$B$601,"Q19")-COUNTIFS('Theo dõi'!$A$2:$A$601,$A52,'Theo dõi'!$D$2:$D$601,"&lt;&gt;",'Theo dõi'!$H$2:$H$601,"Có",'Theo dõi'!$B$2:$B$601,"Q20"))/(COUNTIFS('Theo dõi'!$A$2:$A$601,$A52,'Theo dõi'!$D$2:$D$601,"&lt;&gt;")-COUNTIFS('Theo dõi'!$A$2:$A$601,$A52,'Theo dõi'!$D$2:$D$601,"&lt;&gt;",'Theo dõi'!$B$2:$B$601,"Q18")-COUNTIFS('Theo dõi'!$A$2:$A$601,$A52,'Theo dõi'!$D$2:$D$601,"&lt;&gt;",'Theo dõi'!$B$2:$B$601,"Q19")-COUNTIFS('Theo dõi'!$A$2:$A$601,$A52,'Theo dõi'!$D$2:$D$601,"&lt;&gt;",'Theo dõi'!$B$2:$B$601,"Q20")))</f>
        <v/>
      </c>
    </row>
    <row r="53" customFormat="false" ht="15" hidden="false" customHeight="false" outlineLevel="0" collapsed="false">
      <c r="A53" s="14" t="s">
        <v>138</v>
      </c>
      <c r="B53" s="15" t="n">
        <f aca="false">COUNTIFS('Theo dõi'!$A$2:$A$601,$A53,'Theo dõi'!$D$2:$D$601,"&lt;&gt;")-COUNTIFS('Theo dõi'!$A$2:$A$601,$A53,'Theo dõi'!$D$2:$D$601,"&lt;&gt;",'Theo dõi'!$B$2:$B$601,"Q18")-COUNTIFS('Theo dõi'!$A$2:$A$601,$A53,'Theo dõi'!$D$2:$D$601,"&lt;&gt;",'Theo dõi'!$B$2:$B$601,"Q19")-COUNTIFS('Theo dõi'!$A$2:$A$601,$A53,'Theo dõi'!$D$2:$D$601,"&lt;&gt;",'Theo dõi'!$B$2:$B$601,"Q20")</f>
        <v>0</v>
      </c>
      <c r="C53" s="16" t="str">
        <f aca="false">IF((COUNTIFS('Theo dõi'!$A$2:$A$601,$A53,'Theo dõi'!$D$2:$D$601,"ChatGPT")-COUNTIFS('Theo dõi'!$A$2:$A$601,$A53,'Theo dõi'!$D$2:$D$601,"ChatGPT",'Theo dõi'!$B$2:$B$601,"Q18")-COUNTIFS('Theo dõi'!$A$2:$A$601,$A53,'Theo dõi'!$D$2:$D$601,"ChatGPT",'Theo dõi'!$B$2:$B$601,"Q19")-COUNTIFS('Theo dõi'!$A$2:$A$601,$A53,'Theo dõi'!$D$2:$D$601,"ChatGPT",'Theo dõi'!$B$2:$B$601,"Q20"))=0,"",(COUNTIFS('Theo dõi'!$A$2:$A$601,$A53,'Theo dõi'!$D$2:$D$601,"ChatGPT",'Theo dõi'!$H$2:$H$601,"Có")-COUNTIFS('Theo dõi'!$A$2:$A$601,$A53,'Theo dõi'!$D$2:$D$601,"ChatGPT",'Theo dõi'!$H$2:$H$601,"Có",'Theo dõi'!$B$2:$B$601,"Q18")-COUNTIFS('Theo dõi'!$A$2:$A$601,$A53,'Theo dõi'!$D$2:$D$601,"ChatGPT",'Theo dõi'!$H$2:$H$601,"Có",'Theo dõi'!$B$2:$B$601,"Q19")-COUNTIFS('Theo dõi'!$A$2:$A$601,$A53,'Theo dõi'!$D$2:$D$601,"ChatGPT",'Theo dõi'!$H$2:$H$601,"Có",'Theo dõi'!$B$2:$B$601,"Q20"))/(COUNTIFS('Theo dõi'!$A$2:$A$601,$A53,'Theo dõi'!$D$2:$D$601,"ChatGPT")-COUNTIFS('Theo dõi'!$A$2:$A$601,$A53,'Theo dõi'!$D$2:$D$601,"ChatGPT",'Theo dõi'!$B$2:$B$601,"Q18")-COUNTIFS('Theo dõi'!$A$2:$A$601,$A53,'Theo dõi'!$D$2:$D$601,"ChatGPT",'Theo dõi'!$B$2:$B$601,"Q19")-COUNTIFS('Theo dõi'!$A$2:$A$601,$A53,'Theo dõi'!$D$2:$D$601,"ChatGPT",'Theo dõi'!$B$2:$B$601,"Q20")))</f>
        <v/>
      </c>
      <c r="D53" s="16" t="str">
        <f aca="false">IF((COUNTIFS('Theo dõi'!$A$2:$A$601,$A53,'Theo dõi'!$D$2:$D$601,"Perplexity")-COUNTIFS('Theo dõi'!$A$2:$A$601,$A53,'Theo dõi'!$D$2:$D$601,"Perplexity",'Theo dõi'!$B$2:$B$601,"Q18")-COUNTIFS('Theo dõi'!$A$2:$A$601,$A53,'Theo dõi'!$D$2:$D$601,"Perplexity",'Theo dõi'!$B$2:$B$601,"Q19")-COUNTIFS('Theo dõi'!$A$2:$A$601,$A53,'Theo dõi'!$D$2:$D$601,"Perplexity",'Theo dõi'!$B$2:$B$601,"Q20"))=0,"",(COUNTIFS('Theo dõi'!$A$2:$A$601,$A53,'Theo dõi'!$D$2:$D$601,"Perplexity",'Theo dõi'!$H$2:$H$601,"Có")-COUNTIFS('Theo dõi'!$A$2:$A$601,$A53,'Theo dõi'!$D$2:$D$601,"Perplexity",'Theo dõi'!$H$2:$H$601,"Có",'Theo dõi'!$B$2:$B$601,"Q18")-COUNTIFS('Theo dõi'!$A$2:$A$601,$A53,'Theo dõi'!$D$2:$D$601,"Perplexity",'Theo dõi'!$H$2:$H$601,"Có",'Theo dõi'!$B$2:$B$601,"Q19")-COUNTIFS('Theo dõi'!$A$2:$A$601,$A53,'Theo dõi'!$D$2:$D$601,"Perplexity",'Theo dõi'!$H$2:$H$601,"Có",'Theo dõi'!$B$2:$B$601,"Q20"))/(COUNTIFS('Theo dõi'!$A$2:$A$601,$A53,'Theo dõi'!$D$2:$D$601,"Perplexity")-COUNTIFS('Theo dõi'!$A$2:$A$601,$A53,'Theo dõi'!$D$2:$D$601,"Perplexity",'Theo dõi'!$B$2:$B$601,"Q18")-COUNTIFS('Theo dõi'!$A$2:$A$601,$A53,'Theo dõi'!$D$2:$D$601,"Perplexity",'Theo dõi'!$B$2:$B$601,"Q19")-COUNTIFS('Theo dõi'!$A$2:$A$601,$A53,'Theo dõi'!$D$2:$D$601,"Perplexity",'Theo dõi'!$B$2:$B$601,"Q20")))</f>
        <v/>
      </c>
      <c r="E53" s="16" t="str">
        <f aca="false">IF((COUNTIFS('Theo dõi'!$A$2:$A$601,$A53,'Theo dõi'!$D$2:$D$601,"Gemini")-COUNTIFS('Theo dõi'!$A$2:$A$601,$A53,'Theo dõi'!$D$2:$D$601,"Gemini",'Theo dõi'!$B$2:$B$601,"Q18")-COUNTIFS('Theo dõi'!$A$2:$A$601,$A53,'Theo dõi'!$D$2:$D$601,"Gemini",'Theo dõi'!$B$2:$B$601,"Q19")-COUNTIFS('Theo dõi'!$A$2:$A$601,$A53,'Theo dõi'!$D$2:$D$601,"Gemini",'Theo dõi'!$B$2:$B$601,"Q20"))=0,"",(COUNTIFS('Theo dõi'!$A$2:$A$601,$A53,'Theo dõi'!$D$2:$D$601,"Gemini",'Theo dõi'!$H$2:$H$601,"Có")-COUNTIFS('Theo dõi'!$A$2:$A$601,$A53,'Theo dõi'!$D$2:$D$601,"Gemini",'Theo dõi'!$H$2:$H$601,"Có",'Theo dõi'!$B$2:$B$601,"Q18")-COUNTIFS('Theo dõi'!$A$2:$A$601,$A53,'Theo dõi'!$D$2:$D$601,"Gemini",'Theo dõi'!$H$2:$H$601,"Có",'Theo dõi'!$B$2:$B$601,"Q19")-COUNTIFS('Theo dõi'!$A$2:$A$601,$A53,'Theo dõi'!$D$2:$D$601,"Gemini",'Theo dõi'!$H$2:$H$601,"Có",'Theo dõi'!$B$2:$B$601,"Q20"))/(COUNTIFS('Theo dõi'!$A$2:$A$601,$A53,'Theo dõi'!$D$2:$D$601,"Gemini")-COUNTIFS('Theo dõi'!$A$2:$A$601,$A53,'Theo dõi'!$D$2:$D$601,"Gemini",'Theo dõi'!$B$2:$B$601,"Q18")-COUNTIFS('Theo dõi'!$A$2:$A$601,$A53,'Theo dõi'!$D$2:$D$601,"Gemini",'Theo dõi'!$B$2:$B$601,"Q19")-COUNTIFS('Theo dõi'!$A$2:$A$601,$A53,'Theo dõi'!$D$2:$D$601,"Gemini",'Theo dõi'!$B$2:$B$601,"Q20")))</f>
        <v/>
      </c>
      <c r="F53" s="16" t="str">
        <f aca="false">IF((COUNTIFS('Theo dõi'!$A$2:$A$601,$A53,'Theo dõi'!$D$2:$D$601,"Google AI Overview")-COUNTIFS('Theo dõi'!$A$2:$A$601,$A53,'Theo dõi'!$D$2:$D$601,"Google AI Overview",'Theo dõi'!$B$2:$B$601,"Q18")-COUNTIFS('Theo dõi'!$A$2:$A$601,$A53,'Theo dõi'!$D$2:$D$601,"Google AI Overview",'Theo dõi'!$B$2:$B$601,"Q19")-COUNTIFS('Theo dõi'!$A$2:$A$601,$A53,'Theo dõi'!$D$2:$D$601,"Google AI Overview",'Theo dõi'!$B$2:$B$601,"Q20"))=0,"",(COUNTIFS('Theo dõi'!$A$2:$A$601,$A53,'Theo dõi'!$D$2:$D$601,"Google AI Overview",'Theo dõi'!$H$2:$H$601,"Có")-COUNTIFS('Theo dõi'!$A$2:$A$601,$A53,'Theo dõi'!$D$2:$D$601,"Google AI Overview",'Theo dõi'!$H$2:$H$601,"Có",'Theo dõi'!$B$2:$B$601,"Q18")-COUNTIFS('Theo dõi'!$A$2:$A$601,$A53,'Theo dõi'!$D$2:$D$601,"Google AI Overview",'Theo dõi'!$H$2:$H$601,"Có",'Theo dõi'!$B$2:$B$601,"Q19")-COUNTIFS('Theo dõi'!$A$2:$A$601,$A53,'Theo dõi'!$D$2:$D$601,"Google AI Overview",'Theo dõi'!$H$2:$H$601,"Có",'Theo dõi'!$B$2:$B$601,"Q20"))/(COUNTIFS('Theo dõi'!$A$2:$A$601,$A53,'Theo dõi'!$D$2:$D$601,"Google AI Overview")-COUNTIFS('Theo dõi'!$A$2:$A$601,$A53,'Theo dõi'!$D$2:$D$601,"Google AI Overview",'Theo dõi'!$B$2:$B$601,"Q18")-COUNTIFS('Theo dõi'!$A$2:$A$601,$A53,'Theo dõi'!$D$2:$D$601,"Google AI Overview",'Theo dõi'!$B$2:$B$601,"Q19")-COUNTIFS('Theo dõi'!$A$2:$A$601,$A53,'Theo dõi'!$D$2:$D$601,"Google AI Overview",'Theo dõi'!$B$2:$B$601,"Q20")))</f>
        <v/>
      </c>
      <c r="G53" s="16" t="str">
        <f aca="false">IF((COUNTIFS('Theo dõi'!$A$2:$A$601,$A53,'Theo dõi'!$D$2:$D$601,"Copilot")-COUNTIFS('Theo dõi'!$A$2:$A$601,$A53,'Theo dõi'!$D$2:$D$601,"Copilot",'Theo dõi'!$B$2:$B$601,"Q18")-COUNTIFS('Theo dõi'!$A$2:$A$601,$A53,'Theo dõi'!$D$2:$D$601,"Copilot",'Theo dõi'!$B$2:$B$601,"Q19")-COUNTIFS('Theo dõi'!$A$2:$A$601,$A53,'Theo dõi'!$D$2:$D$601,"Copilot",'Theo dõi'!$B$2:$B$601,"Q20"))=0,"",(COUNTIFS('Theo dõi'!$A$2:$A$601,$A53,'Theo dõi'!$D$2:$D$601,"Copilot",'Theo dõi'!$H$2:$H$601,"Có")-COUNTIFS('Theo dõi'!$A$2:$A$601,$A53,'Theo dõi'!$D$2:$D$601,"Copilot",'Theo dõi'!$H$2:$H$601,"Có",'Theo dõi'!$B$2:$B$601,"Q18")-COUNTIFS('Theo dõi'!$A$2:$A$601,$A53,'Theo dõi'!$D$2:$D$601,"Copilot",'Theo dõi'!$H$2:$H$601,"Có",'Theo dõi'!$B$2:$B$601,"Q19")-COUNTIFS('Theo dõi'!$A$2:$A$601,$A53,'Theo dõi'!$D$2:$D$601,"Copilot",'Theo dõi'!$H$2:$H$601,"Có",'Theo dõi'!$B$2:$B$601,"Q20"))/(COUNTIFS('Theo dõi'!$A$2:$A$601,$A53,'Theo dõi'!$D$2:$D$601,"Copilot")-COUNTIFS('Theo dõi'!$A$2:$A$601,$A53,'Theo dõi'!$D$2:$D$601,"Copilot",'Theo dõi'!$B$2:$B$601,"Q18")-COUNTIFS('Theo dõi'!$A$2:$A$601,$A53,'Theo dõi'!$D$2:$D$601,"Copilot",'Theo dõi'!$B$2:$B$601,"Q19")-COUNTIFS('Theo dõi'!$A$2:$A$601,$A53,'Theo dõi'!$D$2:$D$601,"Copilot",'Theo dõi'!$B$2:$B$601,"Q20")))</f>
        <v/>
      </c>
      <c r="H53" s="17" t="str">
        <f aca="false">IF((COUNTIFS('Theo dõi'!$A$2:$A$601,$A53,'Theo dõi'!$D$2:$D$601,"&lt;&gt;")-COUNTIFS('Theo dõi'!$A$2:$A$601,$A53,'Theo dõi'!$D$2:$D$601,"&lt;&gt;",'Theo dõi'!$B$2:$B$601,"Q18")-COUNTIFS('Theo dõi'!$A$2:$A$601,$A53,'Theo dõi'!$D$2:$D$601,"&lt;&gt;",'Theo dõi'!$B$2:$B$601,"Q19")-COUNTIFS('Theo dõi'!$A$2:$A$601,$A53,'Theo dõi'!$D$2:$D$601,"&lt;&gt;",'Theo dõi'!$B$2:$B$601,"Q20"))=0,"",(COUNTIFS('Theo dõi'!$A$2:$A$601,$A53,'Theo dõi'!$D$2:$D$601,"&lt;&gt;",'Theo dõi'!$H$2:$H$601,"Có")-COUNTIFS('Theo dõi'!$A$2:$A$601,$A53,'Theo dõi'!$D$2:$D$601,"&lt;&gt;",'Theo dõi'!$H$2:$H$601,"Có",'Theo dõi'!$B$2:$B$601,"Q18")-COUNTIFS('Theo dõi'!$A$2:$A$601,$A53,'Theo dõi'!$D$2:$D$601,"&lt;&gt;",'Theo dõi'!$H$2:$H$601,"Có",'Theo dõi'!$B$2:$B$601,"Q19")-COUNTIFS('Theo dõi'!$A$2:$A$601,$A53,'Theo dõi'!$D$2:$D$601,"&lt;&gt;",'Theo dõi'!$H$2:$H$601,"Có",'Theo dõi'!$B$2:$B$601,"Q20"))/(COUNTIFS('Theo dõi'!$A$2:$A$601,$A53,'Theo dõi'!$D$2:$D$601,"&lt;&gt;")-COUNTIFS('Theo dõi'!$A$2:$A$601,$A53,'Theo dõi'!$D$2:$D$601,"&lt;&gt;",'Theo dõi'!$B$2:$B$601,"Q18")-COUNTIFS('Theo dõi'!$A$2:$A$601,$A53,'Theo dõi'!$D$2:$D$601,"&lt;&gt;",'Theo dõi'!$B$2:$B$601,"Q19")-COUNTIFS('Theo dõi'!$A$2:$A$601,$A53,'Theo dõi'!$D$2:$D$601,"&lt;&gt;",'Theo dõi'!$B$2:$B$601,"Q20")))</f>
        <v/>
      </c>
    </row>
    <row r="54" customFormat="false" ht="15" hidden="false" customHeight="false" outlineLevel="0" collapsed="false">
      <c r="A54" s="14" t="s">
        <v>139</v>
      </c>
      <c r="B54" s="15" t="n">
        <f aca="false">COUNTIFS('Theo dõi'!$A$2:$A$601,$A54,'Theo dõi'!$D$2:$D$601,"&lt;&gt;")-COUNTIFS('Theo dõi'!$A$2:$A$601,$A54,'Theo dõi'!$D$2:$D$601,"&lt;&gt;",'Theo dõi'!$B$2:$B$601,"Q18")-COUNTIFS('Theo dõi'!$A$2:$A$601,$A54,'Theo dõi'!$D$2:$D$601,"&lt;&gt;",'Theo dõi'!$B$2:$B$601,"Q19")-COUNTIFS('Theo dõi'!$A$2:$A$601,$A54,'Theo dõi'!$D$2:$D$601,"&lt;&gt;",'Theo dõi'!$B$2:$B$601,"Q20")</f>
        <v>0</v>
      </c>
      <c r="C54" s="16" t="str">
        <f aca="false">IF((COUNTIFS('Theo dõi'!$A$2:$A$601,$A54,'Theo dõi'!$D$2:$D$601,"ChatGPT")-COUNTIFS('Theo dõi'!$A$2:$A$601,$A54,'Theo dõi'!$D$2:$D$601,"ChatGPT",'Theo dõi'!$B$2:$B$601,"Q18")-COUNTIFS('Theo dõi'!$A$2:$A$601,$A54,'Theo dõi'!$D$2:$D$601,"ChatGPT",'Theo dõi'!$B$2:$B$601,"Q19")-COUNTIFS('Theo dõi'!$A$2:$A$601,$A54,'Theo dõi'!$D$2:$D$601,"ChatGPT",'Theo dõi'!$B$2:$B$601,"Q20"))=0,"",(COUNTIFS('Theo dõi'!$A$2:$A$601,$A54,'Theo dõi'!$D$2:$D$601,"ChatGPT",'Theo dõi'!$H$2:$H$601,"Có")-COUNTIFS('Theo dõi'!$A$2:$A$601,$A54,'Theo dõi'!$D$2:$D$601,"ChatGPT",'Theo dõi'!$H$2:$H$601,"Có",'Theo dõi'!$B$2:$B$601,"Q18")-COUNTIFS('Theo dõi'!$A$2:$A$601,$A54,'Theo dõi'!$D$2:$D$601,"ChatGPT",'Theo dõi'!$H$2:$H$601,"Có",'Theo dõi'!$B$2:$B$601,"Q19")-COUNTIFS('Theo dõi'!$A$2:$A$601,$A54,'Theo dõi'!$D$2:$D$601,"ChatGPT",'Theo dõi'!$H$2:$H$601,"Có",'Theo dõi'!$B$2:$B$601,"Q20"))/(COUNTIFS('Theo dõi'!$A$2:$A$601,$A54,'Theo dõi'!$D$2:$D$601,"ChatGPT")-COUNTIFS('Theo dõi'!$A$2:$A$601,$A54,'Theo dõi'!$D$2:$D$601,"ChatGPT",'Theo dõi'!$B$2:$B$601,"Q18")-COUNTIFS('Theo dõi'!$A$2:$A$601,$A54,'Theo dõi'!$D$2:$D$601,"ChatGPT",'Theo dõi'!$B$2:$B$601,"Q19")-COUNTIFS('Theo dõi'!$A$2:$A$601,$A54,'Theo dõi'!$D$2:$D$601,"ChatGPT",'Theo dõi'!$B$2:$B$601,"Q20")))</f>
        <v/>
      </c>
      <c r="D54" s="16" t="str">
        <f aca="false">IF((COUNTIFS('Theo dõi'!$A$2:$A$601,$A54,'Theo dõi'!$D$2:$D$601,"Perplexity")-COUNTIFS('Theo dõi'!$A$2:$A$601,$A54,'Theo dõi'!$D$2:$D$601,"Perplexity",'Theo dõi'!$B$2:$B$601,"Q18")-COUNTIFS('Theo dõi'!$A$2:$A$601,$A54,'Theo dõi'!$D$2:$D$601,"Perplexity",'Theo dõi'!$B$2:$B$601,"Q19")-COUNTIFS('Theo dõi'!$A$2:$A$601,$A54,'Theo dõi'!$D$2:$D$601,"Perplexity",'Theo dõi'!$B$2:$B$601,"Q20"))=0,"",(COUNTIFS('Theo dõi'!$A$2:$A$601,$A54,'Theo dõi'!$D$2:$D$601,"Perplexity",'Theo dõi'!$H$2:$H$601,"Có")-COUNTIFS('Theo dõi'!$A$2:$A$601,$A54,'Theo dõi'!$D$2:$D$601,"Perplexity",'Theo dõi'!$H$2:$H$601,"Có",'Theo dõi'!$B$2:$B$601,"Q18")-COUNTIFS('Theo dõi'!$A$2:$A$601,$A54,'Theo dõi'!$D$2:$D$601,"Perplexity",'Theo dõi'!$H$2:$H$601,"Có",'Theo dõi'!$B$2:$B$601,"Q19")-COUNTIFS('Theo dõi'!$A$2:$A$601,$A54,'Theo dõi'!$D$2:$D$601,"Perplexity",'Theo dõi'!$H$2:$H$601,"Có",'Theo dõi'!$B$2:$B$601,"Q20"))/(COUNTIFS('Theo dõi'!$A$2:$A$601,$A54,'Theo dõi'!$D$2:$D$601,"Perplexity")-COUNTIFS('Theo dõi'!$A$2:$A$601,$A54,'Theo dõi'!$D$2:$D$601,"Perplexity",'Theo dõi'!$B$2:$B$601,"Q18")-COUNTIFS('Theo dõi'!$A$2:$A$601,$A54,'Theo dõi'!$D$2:$D$601,"Perplexity",'Theo dõi'!$B$2:$B$601,"Q19")-COUNTIFS('Theo dõi'!$A$2:$A$601,$A54,'Theo dõi'!$D$2:$D$601,"Perplexity",'Theo dõi'!$B$2:$B$601,"Q20")))</f>
        <v/>
      </c>
      <c r="E54" s="16" t="str">
        <f aca="false">IF((COUNTIFS('Theo dõi'!$A$2:$A$601,$A54,'Theo dõi'!$D$2:$D$601,"Gemini")-COUNTIFS('Theo dõi'!$A$2:$A$601,$A54,'Theo dõi'!$D$2:$D$601,"Gemini",'Theo dõi'!$B$2:$B$601,"Q18")-COUNTIFS('Theo dõi'!$A$2:$A$601,$A54,'Theo dõi'!$D$2:$D$601,"Gemini",'Theo dõi'!$B$2:$B$601,"Q19")-COUNTIFS('Theo dõi'!$A$2:$A$601,$A54,'Theo dõi'!$D$2:$D$601,"Gemini",'Theo dõi'!$B$2:$B$601,"Q20"))=0,"",(COUNTIFS('Theo dõi'!$A$2:$A$601,$A54,'Theo dõi'!$D$2:$D$601,"Gemini",'Theo dõi'!$H$2:$H$601,"Có")-COUNTIFS('Theo dõi'!$A$2:$A$601,$A54,'Theo dõi'!$D$2:$D$601,"Gemini",'Theo dõi'!$H$2:$H$601,"Có",'Theo dõi'!$B$2:$B$601,"Q18")-COUNTIFS('Theo dõi'!$A$2:$A$601,$A54,'Theo dõi'!$D$2:$D$601,"Gemini",'Theo dõi'!$H$2:$H$601,"Có",'Theo dõi'!$B$2:$B$601,"Q19")-COUNTIFS('Theo dõi'!$A$2:$A$601,$A54,'Theo dõi'!$D$2:$D$601,"Gemini",'Theo dõi'!$H$2:$H$601,"Có",'Theo dõi'!$B$2:$B$601,"Q20"))/(COUNTIFS('Theo dõi'!$A$2:$A$601,$A54,'Theo dõi'!$D$2:$D$601,"Gemini")-COUNTIFS('Theo dõi'!$A$2:$A$601,$A54,'Theo dõi'!$D$2:$D$601,"Gemini",'Theo dõi'!$B$2:$B$601,"Q18")-COUNTIFS('Theo dõi'!$A$2:$A$601,$A54,'Theo dõi'!$D$2:$D$601,"Gemini",'Theo dõi'!$B$2:$B$601,"Q19")-COUNTIFS('Theo dõi'!$A$2:$A$601,$A54,'Theo dõi'!$D$2:$D$601,"Gemini",'Theo dõi'!$B$2:$B$601,"Q20")))</f>
        <v/>
      </c>
      <c r="F54" s="16" t="str">
        <f aca="false">IF((COUNTIFS('Theo dõi'!$A$2:$A$601,$A54,'Theo dõi'!$D$2:$D$601,"Google AI Overview")-COUNTIFS('Theo dõi'!$A$2:$A$601,$A54,'Theo dõi'!$D$2:$D$601,"Google AI Overview",'Theo dõi'!$B$2:$B$601,"Q18")-COUNTIFS('Theo dõi'!$A$2:$A$601,$A54,'Theo dõi'!$D$2:$D$601,"Google AI Overview",'Theo dõi'!$B$2:$B$601,"Q19")-COUNTIFS('Theo dõi'!$A$2:$A$601,$A54,'Theo dõi'!$D$2:$D$601,"Google AI Overview",'Theo dõi'!$B$2:$B$601,"Q20"))=0,"",(COUNTIFS('Theo dõi'!$A$2:$A$601,$A54,'Theo dõi'!$D$2:$D$601,"Google AI Overview",'Theo dõi'!$H$2:$H$601,"Có")-COUNTIFS('Theo dõi'!$A$2:$A$601,$A54,'Theo dõi'!$D$2:$D$601,"Google AI Overview",'Theo dõi'!$H$2:$H$601,"Có",'Theo dõi'!$B$2:$B$601,"Q18")-COUNTIFS('Theo dõi'!$A$2:$A$601,$A54,'Theo dõi'!$D$2:$D$601,"Google AI Overview",'Theo dõi'!$H$2:$H$601,"Có",'Theo dõi'!$B$2:$B$601,"Q19")-COUNTIFS('Theo dõi'!$A$2:$A$601,$A54,'Theo dõi'!$D$2:$D$601,"Google AI Overview",'Theo dõi'!$H$2:$H$601,"Có",'Theo dõi'!$B$2:$B$601,"Q20"))/(COUNTIFS('Theo dõi'!$A$2:$A$601,$A54,'Theo dõi'!$D$2:$D$601,"Google AI Overview")-COUNTIFS('Theo dõi'!$A$2:$A$601,$A54,'Theo dõi'!$D$2:$D$601,"Google AI Overview",'Theo dõi'!$B$2:$B$601,"Q18")-COUNTIFS('Theo dõi'!$A$2:$A$601,$A54,'Theo dõi'!$D$2:$D$601,"Google AI Overview",'Theo dõi'!$B$2:$B$601,"Q19")-COUNTIFS('Theo dõi'!$A$2:$A$601,$A54,'Theo dõi'!$D$2:$D$601,"Google AI Overview",'Theo dõi'!$B$2:$B$601,"Q20")))</f>
        <v/>
      </c>
      <c r="G54" s="16" t="str">
        <f aca="false">IF((COUNTIFS('Theo dõi'!$A$2:$A$601,$A54,'Theo dõi'!$D$2:$D$601,"Copilot")-COUNTIFS('Theo dõi'!$A$2:$A$601,$A54,'Theo dõi'!$D$2:$D$601,"Copilot",'Theo dõi'!$B$2:$B$601,"Q18")-COUNTIFS('Theo dõi'!$A$2:$A$601,$A54,'Theo dõi'!$D$2:$D$601,"Copilot",'Theo dõi'!$B$2:$B$601,"Q19")-COUNTIFS('Theo dõi'!$A$2:$A$601,$A54,'Theo dõi'!$D$2:$D$601,"Copilot",'Theo dõi'!$B$2:$B$601,"Q20"))=0,"",(COUNTIFS('Theo dõi'!$A$2:$A$601,$A54,'Theo dõi'!$D$2:$D$601,"Copilot",'Theo dõi'!$H$2:$H$601,"Có")-COUNTIFS('Theo dõi'!$A$2:$A$601,$A54,'Theo dõi'!$D$2:$D$601,"Copilot",'Theo dõi'!$H$2:$H$601,"Có",'Theo dõi'!$B$2:$B$601,"Q18")-COUNTIFS('Theo dõi'!$A$2:$A$601,$A54,'Theo dõi'!$D$2:$D$601,"Copilot",'Theo dõi'!$H$2:$H$601,"Có",'Theo dõi'!$B$2:$B$601,"Q19")-COUNTIFS('Theo dõi'!$A$2:$A$601,$A54,'Theo dõi'!$D$2:$D$601,"Copilot",'Theo dõi'!$H$2:$H$601,"Có",'Theo dõi'!$B$2:$B$601,"Q20"))/(COUNTIFS('Theo dõi'!$A$2:$A$601,$A54,'Theo dõi'!$D$2:$D$601,"Copilot")-COUNTIFS('Theo dõi'!$A$2:$A$601,$A54,'Theo dõi'!$D$2:$D$601,"Copilot",'Theo dõi'!$B$2:$B$601,"Q18")-COUNTIFS('Theo dõi'!$A$2:$A$601,$A54,'Theo dõi'!$D$2:$D$601,"Copilot",'Theo dõi'!$B$2:$B$601,"Q19")-COUNTIFS('Theo dõi'!$A$2:$A$601,$A54,'Theo dõi'!$D$2:$D$601,"Copilot",'Theo dõi'!$B$2:$B$601,"Q20")))</f>
        <v/>
      </c>
      <c r="H54" s="17" t="str">
        <f aca="false">IF((COUNTIFS('Theo dõi'!$A$2:$A$601,$A54,'Theo dõi'!$D$2:$D$601,"&lt;&gt;")-COUNTIFS('Theo dõi'!$A$2:$A$601,$A54,'Theo dõi'!$D$2:$D$601,"&lt;&gt;",'Theo dõi'!$B$2:$B$601,"Q18")-COUNTIFS('Theo dõi'!$A$2:$A$601,$A54,'Theo dõi'!$D$2:$D$601,"&lt;&gt;",'Theo dõi'!$B$2:$B$601,"Q19")-COUNTIFS('Theo dõi'!$A$2:$A$601,$A54,'Theo dõi'!$D$2:$D$601,"&lt;&gt;",'Theo dõi'!$B$2:$B$601,"Q20"))=0,"",(COUNTIFS('Theo dõi'!$A$2:$A$601,$A54,'Theo dõi'!$D$2:$D$601,"&lt;&gt;",'Theo dõi'!$H$2:$H$601,"Có")-COUNTIFS('Theo dõi'!$A$2:$A$601,$A54,'Theo dõi'!$D$2:$D$601,"&lt;&gt;",'Theo dõi'!$H$2:$H$601,"Có",'Theo dõi'!$B$2:$B$601,"Q18")-COUNTIFS('Theo dõi'!$A$2:$A$601,$A54,'Theo dõi'!$D$2:$D$601,"&lt;&gt;",'Theo dõi'!$H$2:$H$601,"Có",'Theo dõi'!$B$2:$B$601,"Q19")-COUNTIFS('Theo dõi'!$A$2:$A$601,$A54,'Theo dõi'!$D$2:$D$601,"&lt;&gt;",'Theo dõi'!$H$2:$H$601,"Có",'Theo dõi'!$B$2:$B$601,"Q20"))/(COUNTIFS('Theo dõi'!$A$2:$A$601,$A54,'Theo dõi'!$D$2:$D$601,"&lt;&gt;")-COUNTIFS('Theo dõi'!$A$2:$A$601,$A54,'Theo dõi'!$D$2:$D$601,"&lt;&gt;",'Theo dõi'!$B$2:$B$601,"Q18")-COUNTIFS('Theo dõi'!$A$2:$A$601,$A54,'Theo dõi'!$D$2:$D$601,"&lt;&gt;",'Theo dõi'!$B$2:$B$601,"Q19")-COUNTIFS('Theo dõi'!$A$2:$A$601,$A54,'Theo dõi'!$D$2:$D$601,"&lt;&gt;",'Theo dõi'!$B$2:$B$601,"Q20")))</f>
        <v/>
      </c>
    </row>
    <row r="55" customFormat="false" ht="15" hidden="false" customHeight="false" outlineLevel="0" collapsed="false">
      <c r="A55" s="14" t="s">
        <v>140</v>
      </c>
      <c r="B55" s="15" t="n">
        <f aca="false">COUNTIFS('Theo dõi'!$A$2:$A$601,$A55,'Theo dõi'!$D$2:$D$601,"&lt;&gt;")-COUNTIFS('Theo dõi'!$A$2:$A$601,$A55,'Theo dõi'!$D$2:$D$601,"&lt;&gt;",'Theo dõi'!$B$2:$B$601,"Q18")-COUNTIFS('Theo dõi'!$A$2:$A$601,$A55,'Theo dõi'!$D$2:$D$601,"&lt;&gt;",'Theo dõi'!$B$2:$B$601,"Q19")-COUNTIFS('Theo dõi'!$A$2:$A$601,$A55,'Theo dõi'!$D$2:$D$601,"&lt;&gt;",'Theo dõi'!$B$2:$B$601,"Q20")</f>
        <v>0</v>
      </c>
      <c r="C55" s="16" t="str">
        <f aca="false">IF((COUNTIFS('Theo dõi'!$A$2:$A$601,$A55,'Theo dõi'!$D$2:$D$601,"ChatGPT")-COUNTIFS('Theo dõi'!$A$2:$A$601,$A55,'Theo dõi'!$D$2:$D$601,"ChatGPT",'Theo dõi'!$B$2:$B$601,"Q18")-COUNTIFS('Theo dõi'!$A$2:$A$601,$A55,'Theo dõi'!$D$2:$D$601,"ChatGPT",'Theo dõi'!$B$2:$B$601,"Q19")-COUNTIFS('Theo dõi'!$A$2:$A$601,$A55,'Theo dõi'!$D$2:$D$601,"ChatGPT",'Theo dõi'!$B$2:$B$601,"Q20"))=0,"",(COUNTIFS('Theo dõi'!$A$2:$A$601,$A55,'Theo dõi'!$D$2:$D$601,"ChatGPT",'Theo dõi'!$H$2:$H$601,"Có")-COUNTIFS('Theo dõi'!$A$2:$A$601,$A55,'Theo dõi'!$D$2:$D$601,"ChatGPT",'Theo dõi'!$H$2:$H$601,"Có",'Theo dõi'!$B$2:$B$601,"Q18")-COUNTIFS('Theo dõi'!$A$2:$A$601,$A55,'Theo dõi'!$D$2:$D$601,"ChatGPT",'Theo dõi'!$H$2:$H$601,"Có",'Theo dõi'!$B$2:$B$601,"Q19")-COUNTIFS('Theo dõi'!$A$2:$A$601,$A55,'Theo dõi'!$D$2:$D$601,"ChatGPT",'Theo dõi'!$H$2:$H$601,"Có",'Theo dõi'!$B$2:$B$601,"Q20"))/(COUNTIFS('Theo dõi'!$A$2:$A$601,$A55,'Theo dõi'!$D$2:$D$601,"ChatGPT")-COUNTIFS('Theo dõi'!$A$2:$A$601,$A55,'Theo dõi'!$D$2:$D$601,"ChatGPT",'Theo dõi'!$B$2:$B$601,"Q18")-COUNTIFS('Theo dõi'!$A$2:$A$601,$A55,'Theo dõi'!$D$2:$D$601,"ChatGPT",'Theo dõi'!$B$2:$B$601,"Q19")-COUNTIFS('Theo dõi'!$A$2:$A$601,$A55,'Theo dõi'!$D$2:$D$601,"ChatGPT",'Theo dõi'!$B$2:$B$601,"Q20")))</f>
        <v/>
      </c>
      <c r="D55" s="16" t="str">
        <f aca="false">IF((COUNTIFS('Theo dõi'!$A$2:$A$601,$A55,'Theo dõi'!$D$2:$D$601,"Perplexity")-COUNTIFS('Theo dõi'!$A$2:$A$601,$A55,'Theo dõi'!$D$2:$D$601,"Perplexity",'Theo dõi'!$B$2:$B$601,"Q18")-COUNTIFS('Theo dõi'!$A$2:$A$601,$A55,'Theo dõi'!$D$2:$D$601,"Perplexity",'Theo dõi'!$B$2:$B$601,"Q19")-COUNTIFS('Theo dõi'!$A$2:$A$601,$A55,'Theo dõi'!$D$2:$D$601,"Perplexity",'Theo dõi'!$B$2:$B$601,"Q20"))=0,"",(COUNTIFS('Theo dõi'!$A$2:$A$601,$A55,'Theo dõi'!$D$2:$D$601,"Perplexity",'Theo dõi'!$H$2:$H$601,"Có")-COUNTIFS('Theo dõi'!$A$2:$A$601,$A55,'Theo dõi'!$D$2:$D$601,"Perplexity",'Theo dõi'!$H$2:$H$601,"Có",'Theo dõi'!$B$2:$B$601,"Q18")-COUNTIFS('Theo dõi'!$A$2:$A$601,$A55,'Theo dõi'!$D$2:$D$601,"Perplexity",'Theo dõi'!$H$2:$H$601,"Có",'Theo dõi'!$B$2:$B$601,"Q19")-COUNTIFS('Theo dõi'!$A$2:$A$601,$A55,'Theo dõi'!$D$2:$D$601,"Perplexity",'Theo dõi'!$H$2:$H$601,"Có",'Theo dõi'!$B$2:$B$601,"Q20"))/(COUNTIFS('Theo dõi'!$A$2:$A$601,$A55,'Theo dõi'!$D$2:$D$601,"Perplexity")-COUNTIFS('Theo dõi'!$A$2:$A$601,$A55,'Theo dõi'!$D$2:$D$601,"Perplexity",'Theo dõi'!$B$2:$B$601,"Q18")-COUNTIFS('Theo dõi'!$A$2:$A$601,$A55,'Theo dõi'!$D$2:$D$601,"Perplexity",'Theo dõi'!$B$2:$B$601,"Q19")-COUNTIFS('Theo dõi'!$A$2:$A$601,$A55,'Theo dõi'!$D$2:$D$601,"Perplexity",'Theo dõi'!$B$2:$B$601,"Q20")))</f>
        <v/>
      </c>
      <c r="E55" s="16" t="str">
        <f aca="false">IF((COUNTIFS('Theo dõi'!$A$2:$A$601,$A55,'Theo dõi'!$D$2:$D$601,"Gemini")-COUNTIFS('Theo dõi'!$A$2:$A$601,$A55,'Theo dõi'!$D$2:$D$601,"Gemini",'Theo dõi'!$B$2:$B$601,"Q18")-COUNTIFS('Theo dõi'!$A$2:$A$601,$A55,'Theo dõi'!$D$2:$D$601,"Gemini",'Theo dõi'!$B$2:$B$601,"Q19")-COUNTIFS('Theo dõi'!$A$2:$A$601,$A55,'Theo dõi'!$D$2:$D$601,"Gemini",'Theo dõi'!$B$2:$B$601,"Q20"))=0,"",(COUNTIFS('Theo dõi'!$A$2:$A$601,$A55,'Theo dõi'!$D$2:$D$601,"Gemini",'Theo dõi'!$H$2:$H$601,"Có")-COUNTIFS('Theo dõi'!$A$2:$A$601,$A55,'Theo dõi'!$D$2:$D$601,"Gemini",'Theo dõi'!$H$2:$H$601,"Có",'Theo dõi'!$B$2:$B$601,"Q18")-COUNTIFS('Theo dõi'!$A$2:$A$601,$A55,'Theo dõi'!$D$2:$D$601,"Gemini",'Theo dõi'!$H$2:$H$601,"Có",'Theo dõi'!$B$2:$B$601,"Q19")-COUNTIFS('Theo dõi'!$A$2:$A$601,$A55,'Theo dõi'!$D$2:$D$601,"Gemini",'Theo dõi'!$H$2:$H$601,"Có",'Theo dõi'!$B$2:$B$601,"Q20"))/(COUNTIFS('Theo dõi'!$A$2:$A$601,$A55,'Theo dõi'!$D$2:$D$601,"Gemini")-COUNTIFS('Theo dõi'!$A$2:$A$601,$A55,'Theo dõi'!$D$2:$D$601,"Gemini",'Theo dõi'!$B$2:$B$601,"Q18")-COUNTIFS('Theo dõi'!$A$2:$A$601,$A55,'Theo dõi'!$D$2:$D$601,"Gemini",'Theo dõi'!$B$2:$B$601,"Q19")-COUNTIFS('Theo dõi'!$A$2:$A$601,$A55,'Theo dõi'!$D$2:$D$601,"Gemini",'Theo dõi'!$B$2:$B$601,"Q20")))</f>
        <v/>
      </c>
      <c r="F55" s="16" t="str">
        <f aca="false">IF((COUNTIFS('Theo dõi'!$A$2:$A$601,$A55,'Theo dõi'!$D$2:$D$601,"Google AI Overview")-COUNTIFS('Theo dõi'!$A$2:$A$601,$A55,'Theo dõi'!$D$2:$D$601,"Google AI Overview",'Theo dõi'!$B$2:$B$601,"Q18")-COUNTIFS('Theo dõi'!$A$2:$A$601,$A55,'Theo dõi'!$D$2:$D$601,"Google AI Overview",'Theo dõi'!$B$2:$B$601,"Q19")-COUNTIFS('Theo dõi'!$A$2:$A$601,$A55,'Theo dõi'!$D$2:$D$601,"Google AI Overview",'Theo dõi'!$B$2:$B$601,"Q20"))=0,"",(COUNTIFS('Theo dõi'!$A$2:$A$601,$A55,'Theo dõi'!$D$2:$D$601,"Google AI Overview",'Theo dõi'!$H$2:$H$601,"Có")-COUNTIFS('Theo dõi'!$A$2:$A$601,$A55,'Theo dõi'!$D$2:$D$601,"Google AI Overview",'Theo dõi'!$H$2:$H$601,"Có",'Theo dõi'!$B$2:$B$601,"Q18")-COUNTIFS('Theo dõi'!$A$2:$A$601,$A55,'Theo dõi'!$D$2:$D$601,"Google AI Overview",'Theo dõi'!$H$2:$H$601,"Có",'Theo dõi'!$B$2:$B$601,"Q19")-COUNTIFS('Theo dõi'!$A$2:$A$601,$A55,'Theo dõi'!$D$2:$D$601,"Google AI Overview",'Theo dõi'!$H$2:$H$601,"Có",'Theo dõi'!$B$2:$B$601,"Q20"))/(COUNTIFS('Theo dõi'!$A$2:$A$601,$A55,'Theo dõi'!$D$2:$D$601,"Google AI Overview")-COUNTIFS('Theo dõi'!$A$2:$A$601,$A55,'Theo dõi'!$D$2:$D$601,"Google AI Overview",'Theo dõi'!$B$2:$B$601,"Q18")-COUNTIFS('Theo dõi'!$A$2:$A$601,$A55,'Theo dõi'!$D$2:$D$601,"Google AI Overview",'Theo dõi'!$B$2:$B$601,"Q19")-COUNTIFS('Theo dõi'!$A$2:$A$601,$A55,'Theo dõi'!$D$2:$D$601,"Google AI Overview",'Theo dõi'!$B$2:$B$601,"Q20")))</f>
        <v/>
      </c>
      <c r="G55" s="16" t="str">
        <f aca="false">IF((COUNTIFS('Theo dõi'!$A$2:$A$601,$A55,'Theo dõi'!$D$2:$D$601,"Copilot")-COUNTIFS('Theo dõi'!$A$2:$A$601,$A55,'Theo dõi'!$D$2:$D$601,"Copilot",'Theo dõi'!$B$2:$B$601,"Q18")-COUNTIFS('Theo dõi'!$A$2:$A$601,$A55,'Theo dõi'!$D$2:$D$601,"Copilot",'Theo dõi'!$B$2:$B$601,"Q19")-COUNTIFS('Theo dõi'!$A$2:$A$601,$A55,'Theo dõi'!$D$2:$D$601,"Copilot",'Theo dõi'!$B$2:$B$601,"Q20"))=0,"",(COUNTIFS('Theo dõi'!$A$2:$A$601,$A55,'Theo dõi'!$D$2:$D$601,"Copilot",'Theo dõi'!$H$2:$H$601,"Có")-COUNTIFS('Theo dõi'!$A$2:$A$601,$A55,'Theo dõi'!$D$2:$D$601,"Copilot",'Theo dõi'!$H$2:$H$601,"Có",'Theo dõi'!$B$2:$B$601,"Q18")-COUNTIFS('Theo dõi'!$A$2:$A$601,$A55,'Theo dõi'!$D$2:$D$601,"Copilot",'Theo dõi'!$H$2:$H$601,"Có",'Theo dõi'!$B$2:$B$601,"Q19")-COUNTIFS('Theo dõi'!$A$2:$A$601,$A55,'Theo dõi'!$D$2:$D$601,"Copilot",'Theo dõi'!$H$2:$H$601,"Có",'Theo dõi'!$B$2:$B$601,"Q20"))/(COUNTIFS('Theo dõi'!$A$2:$A$601,$A55,'Theo dõi'!$D$2:$D$601,"Copilot")-COUNTIFS('Theo dõi'!$A$2:$A$601,$A55,'Theo dõi'!$D$2:$D$601,"Copilot",'Theo dõi'!$B$2:$B$601,"Q18")-COUNTIFS('Theo dõi'!$A$2:$A$601,$A55,'Theo dõi'!$D$2:$D$601,"Copilot",'Theo dõi'!$B$2:$B$601,"Q19")-COUNTIFS('Theo dõi'!$A$2:$A$601,$A55,'Theo dõi'!$D$2:$D$601,"Copilot",'Theo dõi'!$B$2:$B$601,"Q20")))</f>
        <v/>
      </c>
      <c r="H55" s="17" t="str">
        <f aca="false">IF((COUNTIFS('Theo dõi'!$A$2:$A$601,$A55,'Theo dõi'!$D$2:$D$601,"&lt;&gt;")-COUNTIFS('Theo dõi'!$A$2:$A$601,$A55,'Theo dõi'!$D$2:$D$601,"&lt;&gt;",'Theo dõi'!$B$2:$B$601,"Q18")-COUNTIFS('Theo dõi'!$A$2:$A$601,$A55,'Theo dõi'!$D$2:$D$601,"&lt;&gt;",'Theo dõi'!$B$2:$B$601,"Q19")-COUNTIFS('Theo dõi'!$A$2:$A$601,$A55,'Theo dõi'!$D$2:$D$601,"&lt;&gt;",'Theo dõi'!$B$2:$B$601,"Q20"))=0,"",(COUNTIFS('Theo dõi'!$A$2:$A$601,$A55,'Theo dõi'!$D$2:$D$601,"&lt;&gt;",'Theo dõi'!$H$2:$H$601,"Có")-COUNTIFS('Theo dõi'!$A$2:$A$601,$A55,'Theo dõi'!$D$2:$D$601,"&lt;&gt;",'Theo dõi'!$H$2:$H$601,"Có",'Theo dõi'!$B$2:$B$601,"Q18")-COUNTIFS('Theo dõi'!$A$2:$A$601,$A55,'Theo dõi'!$D$2:$D$601,"&lt;&gt;",'Theo dõi'!$H$2:$H$601,"Có",'Theo dõi'!$B$2:$B$601,"Q19")-COUNTIFS('Theo dõi'!$A$2:$A$601,$A55,'Theo dõi'!$D$2:$D$601,"&lt;&gt;",'Theo dõi'!$H$2:$H$601,"Có",'Theo dõi'!$B$2:$B$601,"Q20"))/(COUNTIFS('Theo dõi'!$A$2:$A$601,$A55,'Theo dõi'!$D$2:$D$601,"&lt;&gt;")-COUNTIFS('Theo dõi'!$A$2:$A$601,$A55,'Theo dõi'!$D$2:$D$601,"&lt;&gt;",'Theo dõi'!$B$2:$B$601,"Q18")-COUNTIFS('Theo dõi'!$A$2:$A$601,$A55,'Theo dõi'!$D$2:$D$601,"&lt;&gt;",'Theo dõi'!$B$2:$B$601,"Q19")-COUNTIFS('Theo dõi'!$A$2:$A$601,$A55,'Theo dõi'!$D$2:$D$601,"&lt;&gt;",'Theo dõi'!$B$2:$B$601,"Q20")))</f>
        <v/>
      </c>
    </row>
    <row r="56" customFormat="false" ht="15" hidden="false" customHeight="false" outlineLevel="0" collapsed="false">
      <c r="A56" s="14" t="s">
        <v>141</v>
      </c>
      <c r="B56" s="15" t="n">
        <f aca="false">COUNTIFS('Theo dõi'!$A$2:$A$601,$A56,'Theo dõi'!$D$2:$D$601,"&lt;&gt;")-COUNTIFS('Theo dõi'!$A$2:$A$601,$A56,'Theo dõi'!$D$2:$D$601,"&lt;&gt;",'Theo dõi'!$B$2:$B$601,"Q18")-COUNTIFS('Theo dõi'!$A$2:$A$601,$A56,'Theo dõi'!$D$2:$D$601,"&lt;&gt;",'Theo dõi'!$B$2:$B$601,"Q19")-COUNTIFS('Theo dõi'!$A$2:$A$601,$A56,'Theo dõi'!$D$2:$D$601,"&lt;&gt;",'Theo dõi'!$B$2:$B$601,"Q20")</f>
        <v>0</v>
      </c>
      <c r="C56" s="16" t="str">
        <f aca="false">IF((COUNTIFS('Theo dõi'!$A$2:$A$601,$A56,'Theo dõi'!$D$2:$D$601,"ChatGPT")-COUNTIFS('Theo dõi'!$A$2:$A$601,$A56,'Theo dõi'!$D$2:$D$601,"ChatGPT",'Theo dõi'!$B$2:$B$601,"Q18")-COUNTIFS('Theo dõi'!$A$2:$A$601,$A56,'Theo dõi'!$D$2:$D$601,"ChatGPT",'Theo dõi'!$B$2:$B$601,"Q19")-COUNTIFS('Theo dõi'!$A$2:$A$601,$A56,'Theo dõi'!$D$2:$D$601,"ChatGPT",'Theo dõi'!$B$2:$B$601,"Q20"))=0,"",(COUNTIFS('Theo dõi'!$A$2:$A$601,$A56,'Theo dõi'!$D$2:$D$601,"ChatGPT",'Theo dõi'!$H$2:$H$601,"Có")-COUNTIFS('Theo dõi'!$A$2:$A$601,$A56,'Theo dõi'!$D$2:$D$601,"ChatGPT",'Theo dõi'!$H$2:$H$601,"Có",'Theo dõi'!$B$2:$B$601,"Q18")-COUNTIFS('Theo dõi'!$A$2:$A$601,$A56,'Theo dõi'!$D$2:$D$601,"ChatGPT",'Theo dõi'!$H$2:$H$601,"Có",'Theo dõi'!$B$2:$B$601,"Q19")-COUNTIFS('Theo dõi'!$A$2:$A$601,$A56,'Theo dõi'!$D$2:$D$601,"ChatGPT",'Theo dõi'!$H$2:$H$601,"Có",'Theo dõi'!$B$2:$B$601,"Q20"))/(COUNTIFS('Theo dõi'!$A$2:$A$601,$A56,'Theo dõi'!$D$2:$D$601,"ChatGPT")-COUNTIFS('Theo dõi'!$A$2:$A$601,$A56,'Theo dõi'!$D$2:$D$601,"ChatGPT",'Theo dõi'!$B$2:$B$601,"Q18")-COUNTIFS('Theo dõi'!$A$2:$A$601,$A56,'Theo dõi'!$D$2:$D$601,"ChatGPT",'Theo dõi'!$B$2:$B$601,"Q19")-COUNTIFS('Theo dõi'!$A$2:$A$601,$A56,'Theo dõi'!$D$2:$D$601,"ChatGPT",'Theo dõi'!$B$2:$B$601,"Q20")))</f>
        <v/>
      </c>
      <c r="D56" s="16" t="str">
        <f aca="false">IF((COUNTIFS('Theo dõi'!$A$2:$A$601,$A56,'Theo dõi'!$D$2:$D$601,"Perplexity")-COUNTIFS('Theo dõi'!$A$2:$A$601,$A56,'Theo dõi'!$D$2:$D$601,"Perplexity",'Theo dõi'!$B$2:$B$601,"Q18")-COUNTIFS('Theo dõi'!$A$2:$A$601,$A56,'Theo dõi'!$D$2:$D$601,"Perplexity",'Theo dõi'!$B$2:$B$601,"Q19")-COUNTIFS('Theo dõi'!$A$2:$A$601,$A56,'Theo dõi'!$D$2:$D$601,"Perplexity",'Theo dõi'!$B$2:$B$601,"Q20"))=0,"",(COUNTIFS('Theo dõi'!$A$2:$A$601,$A56,'Theo dõi'!$D$2:$D$601,"Perplexity",'Theo dõi'!$H$2:$H$601,"Có")-COUNTIFS('Theo dõi'!$A$2:$A$601,$A56,'Theo dõi'!$D$2:$D$601,"Perplexity",'Theo dõi'!$H$2:$H$601,"Có",'Theo dõi'!$B$2:$B$601,"Q18")-COUNTIFS('Theo dõi'!$A$2:$A$601,$A56,'Theo dõi'!$D$2:$D$601,"Perplexity",'Theo dõi'!$H$2:$H$601,"Có",'Theo dõi'!$B$2:$B$601,"Q19")-COUNTIFS('Theo dõi'!$A$2:$A$601,$A56,'Theo dõi'!$D$2:$D$601,"Perplexity",'Theo dõi'!$H$2:$H$601,"Có",'Theo dõi'!$B$2:$B$601,"Q20"))/(COUNTIFS('Theo dõi'!$A$2:$A$601,$A56,'Theo dõi'!$D$2:$D$601,"Perplexity")-COUNTIFS('Theo dõi'!$A$2:$A$601,$A56,'Theo dõi'!$D$2:$D$601,"Perplexity",'Theo dõi'!$B$2:$B$601,"Q18")-COUNTIFS('Theo dõi'!$A$2:$A$601,$A56,'Theo dõi'!$D$2:$D$601,"Perplexity",'Theo dõi'!$B$2:$B$601,"Q19")-COUNTIFS('Theo dõi'!$A$2:$A$601,$A56,'Theo dõi'!$D$2:$D$601,"Perplexity",'Theo dõi'!$B$2:$B$601,"Q20")))</f>
        <v/>
      </c>
      <c r="E56" s="16" t="str">
        <f aca="false">IF((COUNTIFS('Theo dõi'!$A$2:$A$601,$A56,'Theo dõi'!$D$2:$D$601,"Gemini")-COUNTIFS('Theo dõi'!$A$2:$A$601,$A56,'Theo dõi'!$D$2:$D$601,"Gemini",'Theo dõi'!$B$2:$B$601,"Q18")-COUNTIFS('Theo dõi'!$A$2:$A$601,$A56,'Theo dõi'!$D$2:$D$601,"Gemini",'Theo dõi'!$B$2:$B$601,"Q19")-COUNTIFS('Theo dõi'!$A$2:$A$601,$A56,'Theo dõi'!$D$2:$D$601,"Gemini",'Theo dõi'!$B$2:$B$601,"Q20"))=0,"",(COUNTIFS('Theo dõi'!$A$2:$A$601,$A56,'Theo dõi'!$D$2:$D$601,"Gemini",'Theo dõi'!$H$2:$H$601,"Có")-COUNTIFS('Theo dõi'!$A$2:$A$601,$A56,'Theo dõi'!$D$2:$D$601,"Gemini",'Theo dõi'!$H$2:$H$601,"Có",'Theo dõi'!$B$2:$B$601,"Q18")-COUNTIFS('Theo dõi'!$A$2:$A$601,$A56,'Theo dõi'!$D$2:$D$601,"Gemini",'Theo dõi'!$H$2:$H$601,"Có",'Theo dõi'!$B$2:$B$601,"Q19")-COUNTIFS('Theo dõi'!$A$2:$A$601,$A56,'Theo dõi'!$D$2:$D$601,"Gemini",'Theo dõi'!$H$2:$H$601,"Có",'Theo dõi'!$B$2:$B$601,"Q20"))/(COUNTIFS('Theo dõi'!$A$2:$A$601,$A56,'Theo dõi'!$D$2:$D$601,"Gemini")-COUNTIFS('Theo dõi'!$A$2:$A$601,$A56,'Theo dõi'!$D$2:$D$601,"Gemini",'Theo dõi'!$B$2:$B$601,"Q18")-COUNTIFS('Theo dõi'!$A$2:$A$601,$A56,'Theo dõi'!$D$2:$D$601,"Gemini",'Theo dõi'!$B$2:$B$601,"Q19")-COUNTIFS('Theo dõi'!$A$2:$A$601,$A56,'Theo dõi'!$D$2:$D$601,"Gemini",'Theo dõi'!$B$2:$B$601,"Q20")))</f>
        <v/>
      </c>
      <c r="F56" s="16" t="str">
        <f aca="false">IF((COUNTIFS('Theo dõi'!$A$2:$A$601,$A56,'Theo dõi'!$D$2:$D$601,"Google AI Overview")-COUNTIFS('Theo dõi'!$A$2:$A$601,$A56,'Theo dõi'!$D$2:$D$601,"Google AI Overview",'Theo dõi'!$B$2:$B$601,"Q18")-COUNTIFS('Theo dõi'!$A$2:$A$601,$A56,'Theo dõi'!$D$2:$D$601,"Google AI Overview",'Theo dõi'!$B$2:$B$601,"Q19")-COUNTIFS('Theo dõi'!$A$2:$A$601,$A56,'Theo dõi'!$D$2:$D$601,"Google AI Overview",'Theo dõi'!$B$2:$B$601,"Q20"))=0,"",(COUNTIFS('Theo dõi'!$A$2:$A$601,$A56,'Theo dõi'!$D$2:$D$601,"Google AI Overview",'Theo dõi'!$H$2:$H$601,"Có")-COUNTIFS('Theo dõi'!$A$2:$A$601,$A56,'Theo dõi'!$D$2:$D$601,"Google AI Overview",'Theo dõi'!$H$2:$H$601,"Có",'Theo dõi'!$B$2:$B$601,"Q18")-COUNTIFS('Theo dõi'!$A$2:$A$601,$A56,'Theo dõi'!$D$2:$D$601,"Google AI Overview",'Theo dõi'!$H$2:$H$601,"Có",'Theo dõi'!$B$2:$B$601,"Q19")-COUNTIFS('Theo dõi'!$A$2:$A$601,$A56,'Theo dõi'!$D$2:$D$601,"Google AI Overview",'Theo dõi'!$H$2:$H$601,"Có",'Theo dõi'!$B$2:$B$601,"Q20"))/(COUNTIFS('Theo dõi'!$A$2:$A$601,$A56,'Theo dõi'!$D$2:$D$601,"Google AI Overview")-COUNTIFS('Theo dõi'!$A$2:$A$601,$A56,'Theo dõi'!$D$2:$D$601,"Google AI Overview",'Theo dõi'!$B$2:$B$601,"Q18")-COUNTIFS('Theo dõi'!$A$2:$A$601,$A56,'Theo dõi'!$D$2:$D$601,"Google AI Overview",'Theo dõi'!$B$2:$B$601,"Q19")-COUNTIFS('Theo dõi'!$A$2:$A$601,$A56,'Theo dõi'!$D$2:$D$601,"Google AI Overview",'Theo dõi'!$B$2:$B$601,"Q20")))</f>
        <v/>
      </c>
      <c r="G56" s="16" t="str">
        <f aca="false">IF((COUNTIFS('Theo dõi'!$A$2:$A$601,$A56,'Theo dõi'!$D$2:$D$601,"Copilot")-COUNTIFS('Theo dõi'!$A$2:$A$601,$A56,'Theo dõi'!$D$2:$D$601,"Copilot",'Theo dõi'!$B$2:$B$601,"Q18")-COUNTIFS('Theo dõi'!$A$2:$A$601,$A56,'Theo dõi'!$D$2:$D$601,"Copilot",'Theo dõi'!$B$2:$B$601,"Q19")-COUNTIFS('Theo dõi'!$A$2:$A$601,$A56,'Theo dõi'!$D$2:$D$601,"Copilot",'Theo dõi'!$B$2:$B$601,"Q20"))=0,"",(COUNTIFS('Theo dõi'!$A$2:$A$601,$A56,'Theo dõi'!$D$2:$D$601,"Copilot",'Theo dõi'!$H$2:$H$601,"Có")-COUNTIFS('Theo dõi'!$A$2:$A$601,$A56,'Theo dõi'!$D$2:$D$601,"Copilot",'Theo dõi'!$H$2:$H$601,"Có",'Theo dõi'!$B$2:$B$601,"Q18")-COUNTIFS('Theo dõi'!$A$2:$A$601,$A56,'Theo dõi'!$D$2:$D$601,"Copilot",'Theo dõi'!$H$2:$H$601,"Có",'Theo dõi'!$B$2:$B$601,"Q19")-COUNTIFS('Theo dõi'!$A$2:$A$601,$A56,'Theo dõi'!$D$2:$D$601,"Copilot",'Theo dõi'!$H$2:$H$601,"Có",'Theo dõi'!$B$2:$B$601,"Q20"))/(COUNTIFS('Theo dõi'!$A$2:$A$601,$A56,'Theo dõi'!$D$2:$D$601,"Copilot")-COUNTIFS('Theo dõi'!$A$2:$A$601,$A56,'Theo dõi'!$D$2:$D$601,"Copilot",'Theo dõi'!$B$2:$B$601,"Q18")-COUNTIFS('Theo dõi'!$A$2:$A$601,$A56,'Theo dõi'!$D$2:$D$601,"Copilot",'Theo dõi'!$B$2:$B$601,"Q19")-COUNTIFS('Theo dõi'!$A$2:$A$601,$A56,'Theo dõi'!$D$2:$D$601,"Copilot",'Theo dõi'!$B$2:$B$601,"Q20")))</f>
        <v/>
      </c>
      <c r="H56" s="17" t="str">
        <f aca="false">IF((COUNTIFS('Theo dõi'!$A$2:$A$601,$A56,'Theo dõi'!$D$2:$D$601,"&lt;&gt;")-COUNTIFS('Theo dõi'!$A$2:$A$601,$A56,'Theo dõi'!$D$2:$D$601,"&lt;&gt;",'Theo dõi'!$B$2:$B$601,"Q18")-COUNTIFS('Theo dõi'!$A$2:$A$601,$A56,'Theo dõi'!$D$2:$D$601,"&lt;&gt;",'Theo dõi'!$B$2:$B$601,"Q19")-COUNTIFS('Theo dõi'!$A$2:$A$601,$A56,'Theo dõi'!$D$2:$D$601,"&lt;&gt;",'Theo dõi'!$B$2:$B$601,"Q20"))=0,"",(COUNTIFS('Theo dõi'!$A$2:$A$601,$A56,'Theo dõi'!$D$2:$D$601,"&lt;&gt;",'Theo dõi'!$H$2:$H$601,"Có")-COUNTIFS('Theo dõi'!$A$2:$A$601,$A56,'Theo dõi'!$D$2:$D$601,"&lt;&gt;",'Theo dõi'!$H$2:$H$601,"Có",'Theo dõi'!$B$2:$B$601,"Q18")-COUNTIFS('Theo dõi'!$A$2:$A$601,$A56,'Theo dõi'!$D$2:$D$601,"&lt;&gt;",'Theo dõi'!$H$2:$H$601,"Có",'Theo dõi'!$B$2:$B$601,"Q19")-COUNTIFS('Theo dõi'!$A$2:$A$601,$A56,'Theo dõi'!$D$2:$D$601,"&lt;&gt;",'Theo dõi'!$H$2:$H$601,"Có",'Theo dõi'!$B$2:$B$601,"Q20"))/(COUNTIFS('Theo dõi'!$A$2:$A$601,$A56,'Theo dõi'!$D$2:$D$601,"&lt;&gt;")-COUNTIFS('Theo dõi'!$A$2:$A$601,$A56,'Theo dõi'!$D$2:$D$601,"&lt;&gt;",'Theo dõi'!$B$2:$B$601,"Q18")-COUNTIFS('Theo dõi'!$A$2:$A$601,$A56,'Theo dõi'!$D$2:$D$601,"&lt;&gt;",'Theo dõi'!$B$2:$B$601,"Q19")-COUNTIFS('Theo dõi'!$A$2:$A$601,$A56,'Theo dõi'!$D$2:$D$601,"&lt;&gt;",'Theo dõi'!$B$2:$B$601,"Q20")))</f>
        <v/>
      </c>
    </row>
    <row r="58" customFormat="false" ht="15" hidden="false" customHeight="false" outlineLevel="0" collapsed="false">
      <c r="A58" s="12" t="s">
        <v>144</v>
      </c>
    </row>
    <row r="59" customFormat="false" ht="15" hidden="false" customHeight="false" outlineLevel="0" collapsed="false">
      <c r="A59" s="18" t="s">
        <v>40</v>
      </c>
      <c r="B59" s="18" t="s">
        <v>145</v>
      </c>
      <c r="C59" s="18" t="s">
        <v>146</v>
      </c>
      <c r="D59" s="18" t="s">
        <v>147</v>
      </c>
      <c r="E59" s="18" t="s">
        <v>148</v>
      </c>
    </row>
    <row r="60" customFormat="false" ht="15" hidden="false" customHeight="false" outlineLevel="0" collapsed="false">
      <c r="A60" s="15" t="s">
        <v>107</v>
      </c>
      <c r="B60" s="15" t="str">
        <f aca="false">IFERROR(INDEX('Câu hỏi'!$D$2:$D$21,MATCH(A60,'Câu hỏi'!$A$2:$A$21,0)),"")</f>
        <v>PSV Travel ở đâu, hotline bao nhiêu?</v>
      </c>
      <c r="C60" s="15" t="n">
        <f aca="false">COUNTIFS('Theo dõi'!$B$2:$B$601,A60,'Theo dõi'!$D$2:$D$601,"&lt;&gt;")</f>
        <v>0</v>
      </c>
      <c r="D60" s="15" t="n">
        <f aca="false">COUNTIFS('Theo dõi'!$B$2:$B$601,A60,'Theo dõi'!$F$2:$F$601,"Có")</f>
        <v>0</v>
      </c>
      <c r="E60" s="15" t="s">
        <v>149</v>
      </c>
    </row>
    <row r="61" customFormat="false" ht="15" hidden="false" customHeight="false" outlineLevel="0" collapsed="false">
      <c r="A61" s="15" t="s">
        <v>111</v>
      </c>
      <c r="B61" s="15" t="str">
        <f aca="false">IFERROR(INDEX('Câu hỏi'!$D$2:$D$21,MATCH(A61,'Câu hỏi'!$A$2:$A$21,0)),"")</f>
        <v>psvtravel.com là website của công ty nào?</v>
      </c>
      <c r="C61" s="15" t="n">
        <f aca="false">COUNTIFS('Theo dõi'!$B$2:$B$601,A61,'Theo dõi'!$D$2:$D$601,"&lt;&gt;")</f>
        <v>0</v>
      </c>
      <c r="D61" s="15" t="n">
        <f aca="false">COUNTIFS('Theo dõi'!$B$2:$B$601,A61,'Theo dõi'!$F$2:$F$601,"Có")</f>
        <v>0</v>
      </c>
      <c r="E61" s="15" t="s">
        <v>150</v>
      </c>
    </row>
    <row r="62" customFormat="false" ht="15" hidden="false" customHeight="false" outlineLevel="0" collapsed="false">
      <c r="A62" s="15" t="s">
        <v>114</v>
      </c>
      <c r="B62" s="15" t="str">
        <f aca="false">IFERROR(INDEX('Câu hỏi'!$D$2:$D$21,MATCH(A62,'Câu hỏi'!$A$2:$A$21,0)),"")</f>
        <v>Cách nấu phở bò ngon tại nhà?</v>
      </c>
      <c r="C62" s="15" t="n">
        <f aca="false">COUNTIFS('Theo dõi'!$B$2:$B$601,A62,'Theo dõi'!$D$2:$D$601,"&lt;&gt;")</f>
        <v>0</v>
      </c>
      <c r="D62" s="15" t="n">
        <f aca="false">COUNTIFS('Theo dõi'!$B$2:$B$601,A62,'Theo dõi'!$F$2:$F$601,"Có")</f>
        <v>0</v>
      </c>
      <c r="E62" s="15" t="s">
        <v>151</v>
      </c>
    </row>
    <row r="64" customFormat="false" ht="15" hidden="false" customHeight="false" outlineLevel="0" collapsed="false">
      <c r="A64" s="12" t="s">
        <v>152</v>
      </c>
    </row>
    <row r="65" customFormat="false" ht="15" hidden="false" customHeight="false" outlineLevel="0" collapsed="false">
      <c r="A65" s="18" t="s">
        <v>40</v>
      </c>
      <c r="B65" s="18" t="s">
        <v>145</v>
      </c>
      <c r="C65" s="18" t="s">
        <v>146</v>
      </c>
      <c r="D65" s="18" t="s">
        <v>153</v>
      </c>
      <c r="E65" s="18" t="s">
        <v>154</v>
      </c>
      <c r="F65" s="18" t="s">
        <v>155</v>
      </c>
      <c r="G65" s="18" t="s">
        <v>156</v>
      </c>
    </row>
    <row r="66" customFormat="false" ht="15" hidden="false" customHeight="false" outlineLevel="0" collapsed="false">
      <c r="A66" s="15" t="str">
        <f aca="false">'Câu hỏi'!A2</f>
        <v>Q01</v>
      </c>
      <c r="B66" s="15" t="str">
        <f aca="false">'Câu hỏi'!D2</f>
        <v>Công ty du lịch nào uy tín ở TP.HCM để đặt tour nước ngoài trọn gói?</v>
      </c>
      <c r="C66" s="15" t="n">
        <f aca="false">COUNTIFS('Theo dõi'!$B$2:$B$601,A66,'Theo dõi'!$D$2:$D$601,"&lt;&gt;")</f>
        <v>0</v>
      </c>
      <c r="D66" s="15" t="n">
        <f aca="false">COUNTIFS('Theo dõi'!$B$2:$B$601,A66,'Theo dõi'!$F$2:$F$601,"Có")</f>
        <v>0</v>
      </c>
      <c r="E66" s="16" t="str">
        <f aca="false">IF(C66=0,"",D66/C66)</f>
        <v/>
      </c>
      <c r="F66" s="15" t="n">
        <f aca="false">COUNTIFS('Theo dõi'!$B$2:$B$601,A66,'Theo dõi'!$H$2:$H$601,"Có")</f>
        <v>0</v>
      </c>
      <c r="G66" s="16" t="str">
        <f aca="false">IF(C66=0,"",F66/C66)</f>
        <v/>
      </c>
    </row>
    <row r="67" customFormat="false" ht="15" hidden="false" customHeight="false" outlineLevel="0" collapsed="false">
      <c r="A67" s="15" t="str">
        <f aca="false">'Câu hỏi'!A3</f>
        <v>Q02</v>
      </c>
      <c r="B67" s="15" t="str">
        <f aca="false">'Câu hỏi'!D3</f>
        <v>Nên đặt tour Trung Quốc No Shopping ở công ty nào tại TP.HCM?</v>
      </c>
      <c r="C67" s="15" t="n">
        <f aca="false">COUNTIFS('Theo dõi'!$B$2:$B$601,A67,'Theo dõi'!$D$2:$D$601,"&lt;&gt;")</f>
        <v>0</v>
      </c>
      <c r="D67" s="15" t="n">
        <f aca="false">COUNTIFS('Theo dõi'!$B$2:$B$601,A67,'Theo dõi'!$F$2:$F$601,"Có")</f>
        <v>0</v>
      </c>
      <c r="E67" s="16" t="str">
        <f aca="false">IF(C67=0,"",D67/C67)</f>
        <v/>
      </c>
      <c r="F67" s="15" t="n">
        <f aca="false">COUNTIFS('Theo dõi'!$B$2:$B$601,A67,'Theo dõi'!$H$2:$H$601,"Có")</f>
        <v>0</v>
      </c>
      <c r="G67" s="16" t="str">
        <f aca="false">IF(C67=0,"",F67/C67)</f>
        <v/>
      </c>
    </row>
    <row r="68" customFormat="false" ht="15" hidden="false" customHeight="false" outlineLevel="0" collapsed="false">
      <c r="A68" s="15" t="str">
        <f aca="false">'Câu hỏi'!A4</f>
        <v>Q03</v>
      </c>
      <c r="B68" s="15" t="str">
        <f aca="false">'Câu hỏi'!D4</f>
        <v>Tour Hàn Quốc 5 ngày 4 đêm khởi hành từ TP.HCM giá bao nhiêu, công ty nào tổ chức?</v>
      </c>
      <c r="C68" s="15" t="n">
        <f aca="false">COUNTIFS('Theo dõi'!$B$2:$B$601,A68,'Theo dõi'!$D$2:$D$601,"&lt;&gt;")</f>
        <v>0</v>
      </c>
      <c r="D68" s="15" t="n">
        <f aca="false">COUNTIFS('Theo dõi'!$B$2:$B$601,A68,'Theo dõi'!$F$2:$F$601,"Có")</f>
        <v>0</v>
      </c>
      <c r="E68" s="16" t="str">
        <f aca="false">IF(C68=0,"",D68/C68)</f>
        <v/>
      </c>
      <c r="F68" s="15" t="n">
        <f aca="false">COUNTIFS('Theo dõi'!$B$2:$B$601,A68,'Theo dõi'!$H$2:$H$601,"Có")</f>
        <v>0</v>
      </c>
      <c r="G68" s="16" t="str">
        <f aca="false">IF(C68=0,"",F68/C68)</f>
        <v/>
      </c>
    </row>
    <row r="69" customFormat="false" ht="15" hidden="false" customHeight="false" outlineLevel="0" collapsed="false">
      <c r="A69" s="15" t="str">
        <f aca="false">'Câu hỏi'!A5</f>
        <v>Q04</v>
      </c>
      <c r="B69" s="15" t="str">
        <f aca="false">'Câu hỏi'!D5</f>
        <v>Tour Bắc Kinh – Thượng Hải 6 ngày bay thẳng từ TP.HCM giá khoảng bao nhiêu?</v>
      </c>
      <c r="C69" s="15" t="n">
        <f aca="false">COUNTIFS('Theo dõi'!$B$2:$B$601,A69,'Theo dõi'!$D$2:$D$601,"&lt;&gt;")</f>
        <v>0</v>
      </c>
      <c r="D69" s="15" t="n">
        <f aca="false">COUNTIFS('Theo dõi'!$B$2:$B$601,A69,'Theo dõi'!$F$2:$F$601,"Có")</f>
        <v>0</v>
      </c>
      <c r="E69" s="16" t="str">
        <f aca="false">IF(C69=0,"",D69/C69)</f>
        <v/>
      </c>
      <c r="F69" s="15" t="n">
        <f aca="false">COUNTIFS('Theo dõi'!$B$2:$B$601,A69,'Theo dõi'!$H$2:$H$601,"Có")</f>
        <v>0</v>
      </c>
      <c r="G69" s="16" t="str">
        <f aca="false">IF(C69=0,"",F69/C69)</f>
        <v/>
      </c>
    </row>
    <row r="70" customFormat="false" ht="15" hidden="false" customHeight="false" outlineLevel="0" collapsed="false">
      <c r="A70" s="15" t="str">
        <f aca="false">'Câu hỏi'!A6</f>
        <v>Q05</v>
      </c>
      <c r="B70" s="15" t="str">
        <f aca="false">'Câu hỏi'!D6</f>
        <v>Công ty nào ở TP.HCM tổ chức du lịch công ty, team building trọn gói cho doanh nghiệp?</v>
      </c>
      <c r="C70" s="15" t="n">
        <f aca="false">COUNTIFS('Theo dõi'!$B$2:$B$601,A70,'Theo dõi'!$D$2:$D$601,"&lt;&gt;")</f>
        <v>0</v>
      </c>
      <c r="D70" s="15" t="n">
        <f aca="false">COUNTIFS('Theo dõi'!$B$2:$B$601,A70,'Theo dõi'!$F$2:$F$601,"Có")</f>
        <v>0</v>
      </c>
      <c r="E70" s="16" t="str">
        <f aca="false">IF(C70=0,"",D70/C70)</f>
        <v/>
      </c>
      <c r="F70" s="15" t="n">
        <f aca="false">COUNTIFS('Theo dõi'!$B$2:$B$601,A70,'Theo dõi'!$H$2:$H$601,"Có")</f>
        <v>0</v>
      </c>
      <c r="G70" s="16" t="str">
        <f aca="false">IF(C70=0,"",F70/C70)</f>
        <v/>
      </c>
    </row>
    <row r="71" customFormat="false" ht="15" hidden="false" customHeight="false" outlineLevel="0" collapsed="false">
      <c r="A71" s="15" t="str">
        <f aca="false">'Câu hỏi'!A7</f>
        <v>Q06</v>
      </c>
      <c r="B71" s="15" t="str">
        <f aca="false">'Câu hỏi'!D7</f>
        <v>Làm visa Hàn Quốc trọn gói ở TP.HCM, phí dịch vụ bao nhiêu và mất bao lâu?</v>
      </c>
      <c r="C71" s="15" t="n">
        <f aca="false">COUNTIFS('Theo dõi'!$B$2:$B$601,A71,'Theo dõi'!$D$2:$D$601,"&lt;&gt;")</f>
        <v>0</v>
      </c>
      <c r="D71" s="15" t="n">
        <f aca="false">COUNTIFS('Theo dõi'!$B$2:$B$601,A71,'Theo dõi'!$F$2:$F$601,"Có")</f>
        <v>0</v>
      </c>
      <c r="E71" s="16" t="str">
        <f aca="false">IF(C71=0,"",D71/C71)</f>
        <v/>
      </c>
      <c r="F71" s="15" t="n">
        <f aca="false">COUNTIFS('Theo dõi'!$B$2:$B$601,A71,'Theo dõi'!$H$2:$H$601,"Có")</f>
        <v>0</v>
      </c>
      <c r="G71" s="16" t="str">
        <f aca="false">IF(C71=0,"",F71/C71)</f>
        <v/>
      </c>
    </row>
    <row r="72" customFormat="false" ht="15" hidden="false" customHeight="false" outlineLevel="0" collapsed="false">
      <c r="A72" s="15" t="str">
        <f aca="false">'Câu hỏi'!A8</f>
        <v>Q07</v>
      </c>
      <c r="B72" s="15" t="str">
        <f aca="false">'Câu hỏi'!D8</f>
        <v>Tour Tết 2027 đi nước ngoài khởi hành từ TP.HCM nên đặt ở đâu, đặt trước bao lâu?</v>
      </c>
      <c r="C72" s="15" t="n">
        <f aca="false">COUNTIFS('Theo dõi'!$B$2:$B$601,A72,'Theo dõi'!$D$2:$D$601,"&lt;&gt;")</f>
        <v>0</v>
      </c>
      <c r="D72" s="15" t="n">
        <f aca="false">COUNTIFS('Theo dõi'!$B$2:$B$601,A72,'Theo dõi'!$F$2:$F$601,"Có")</f>
        <v>0</v>
      </c>
      <c r="E72" s="16" t="str">
        <f aca="false">IF(C72=0,"",D72/C72)</f>
        <v/>
      </c>
      <c r="F72" s="15" t="n">
        <f aca="false">COUNTIFS('Theo dõi'!$B$2:$B$601,A72,'Theo dõi'!$H$2:$H$601,"Có")</f>
        <v>0</v>
      </c>
      <c r="G72" s="16" t="str">
        <f aca="false">IF(C72=0,"",F72/C72)</f>
        <v/>
      </c>
    </row>
    <row r="73" customFormat="false" ht="15" hidden="false" customHeight="false" outlineLevel="0" collapsed="false">
      <c r="A73" s="15" t="str">
        <f aca="false">'Câu hỏi'!A9</f>
        <v>Q08</v>
      </c>
      <c r="B73" s="15" t="str">
        <f aca="false">'Câu hỏi'!D9</f>
        <v>Tour Phú Quốc hoặc Đà Lạt trọn gói cho gia đình từ TP.HCM, công ty nào tốt?</v>
      </c>
      <c r="C73" s="15" t="n">
        <f aca="false">COUNTIFS('Theo dõi'!$B$2:$B$601,A73,'Theo dõi'!$D$2:$D$601,"&lt;&gt;")</f>
        <v>0</v>
      </c>
      <c r="D73" s="15" t="n">
        <f aca="false">COUNTIFS('Theo dõi'!$B$2:$B$601,A73,'Theo dõi'!$F$2:$F$601,"Có")</f>
        <v>0</v>
      </c>
      <c r="E73" s="16" t="str">
        <f aca="false">IF(C73=0,"",D73/C73)</f>
        <v/>
      </c>
      <c r="F73" s="15" t="n">
        <f aca="false">COUNTIFS('Theo dõi'!$B$2:$B$601,A73,'Theo dõi'!$H$2:$H$601,"Có")</f>
        <v>0</v>
      </c>
      <c r="G73" s="16" t="str">
        <f aca="false">IF(C73=0,"",F73/C73)</f>
        <v/>
      </c>
    </row>
    <row r="74" customFormat="false" ht="15" hidden="false" customHeight="false" outlineLevel="0" collapsed="false">
      <c r="A74" s="15" t="str">
        <f aca="false">'Câu hỏi'!A10</f>
        <v>Q09</v>
      </c>
      <c r="B74" s="15" t="str">
        <f aca="false">'Câu hỏi'!D10</f>
        <v>Công ty lữ hành có giấy phép lữ hành quốc tế ở Quận 7 / Tân Thuận, TP.HCM?</v>
      </c>
      <c r="C74" s="15" t="n">
        <f aca="false">COUNTIFS('Theo dõi'!$B$2:$B$601,A74,'Theo dõi'!$D$2:$D$601,"&lt;&gt;")</f>
        <v>0</v>
      </c>
      <c r="D74" s="15" t="n">
        <f aca="false">COUNTIFS('Theo dõi'!$B$2:$B$601,A74,'Theo dõi'!$F$2:$F$601,"Có")</f>
        <v>0</v>
      </c>
      <c r="E74" s="16" t="str">
        <f aca="false">IF(C74=0,"",D74/C74)</f>
        <v/>
      </c>
      <c r="F74" s="15" t="n">
        <f aca="false">COUNTIFS('Theo dõi'!$B$2:$B$601,A74,'Theo dõi'!$H$2:$H$601,"Có")</f>
        <v>0</v>
      </c>
      <c r="G74" s="16" t="str">
        <f aca="false">IF(C74=0,"",F74/C74)</f>
        <v/>
      </c>
    </row>
    <row r="75" customFormat="false" ht="15" hidden="false" customHeight="false" outlineLevel="0" collapsed="false">
      <c r="A75" s="15" t="str">
        <f aca="false">'Câu hỏi'!A11</f>
        <v>Q10</v>
      </c>
      <c r="B75" s="15" t="str">
        <f aca="false">'Câu hỏi'!D11</f>
        <v>PSV Travel có uy tín không? Có giấy phép lữ hành quốc tế không?</v>
      </c>
      <c r="C75" s="15" t="n">
        <f aca="false">COUNTIFS('Theo dõi'!$B$2:$B$601,A75,'Theo dõi'!$D$2:$D$601,"&lt;&gt;")</f>
        <v>0</v>
      </c>
      <c r="D75" s="15" t="n">
        <f aca="false">COUNTIFS('Theo dõi'!$B$2:$B$601,A75,'Theo dõi'!$F$2:$F$601,"Có")</f>
        <v>0</v>
      </c>
      <c r="E75" s="16" t="str">
        <f aca="false">IF(C75=0,"",D75/C75)</f>
        <v/>
      </c>
      <c r="F75" s="15" t="n">
        <f aca="false">COUNTIFS('Theo dõi'!$B$2:$B$601,A75,'Theo dõi'!$H$2:$H$601,"Có")</f>
        <v>0</v>
      </c>
      <c r="G75" s="16" t="str">
        <f aca="false">IF(C75=0,"",F75/C75)</f>
        <v/>
      </c>
    </row>
    <row r="76" customFormat="false" ht="15" hidden="false" customHeight="false" outlineLevel="0" collapsed="false">
      <c r="A76" s="15" t="str">
        <f aca="false">'Câu hỏi'!A12</f>
        <v>Q11</v>
      </c>
      <c r="B76" s="15" t="str">
        <f aca="false">'Câu hỏi'!D12</f>
        <v>Giá tour của PSV Travel đã bao gồm những gì, có phụ thu không?</v>
      </c>
      <c r="C76" s="15" t="n">
        <f aca="false">COUNTIFS('Theo dõi'!$B$2:$B$601,A76,'Theo dõi'!$D$2:$D$601,"&lt;&gt;")</f>
        <v>0</v>
      </c>
      <c r="D76" s="15" t="n">
        <f aca="false">COUNTIFS('Theo dõi'!$B$2:$B$601,A76,'Theo dõi'!$F$2:$F$601,"Có")</f>
        <v>0</v>
      </c>
      <c r="E76" s="16" t="str">
        <f aca="false">IF(C76=0,"",D76/C76)</f>
        <v/>
      </c>
      <c r="F76" s="15" t="n">
        <f aca="false">COUNTIFS('Theo dõi'!$B$2:$B$601,A76,'Theo dõi'!$H$2:$H$601,"Có")</f>
        <v>0</v>
      </c>
      <c r="G76" s="16" t="str">
        <f aca="false">IF(C76=0,"",F76/C76)</f>
        <v/>
      </c>
    </row>
    <row r="77" customFormat="false" ht="15" hidden="false" customHeight="false" outlineLevel="0" collapsed="false">
      <c r="A77" s="15" t="str">
        <f aca="false">'Câu hỏi'!A13</f>
        <v>Q12</v>
      </c>
      <c r="B77" s="15" t="str">
        <f aca="false">'Câu hỏi'!D13</f>
        <v>Nên đặt tour Hàn Quốc ở PSV Travel, Vietravel hay Saigontourist?</v>
      </c>
      <c r="C77" s="15" t="n">
        <f aca="false">COUNTIFS('Theo dõi'!$B$2:$B$601,A77,'Theo dõi'!$D$2:$D$601,"&lt;&gt;")</f>
        <v>0</v>
      </c>
      <c r="D77" s="15" t="n">
        <f aca="false">COUNTIFS('Theo dõi'!$B$2:$B$601,A77,'Theo dõi'!$F$2:$F$601,"Có")</f>
        <v>0</v>
      </c>
      <c r="E77" s="16" t="str">
        <f aca="false">IF(C77=0,"",D77/C77)</f>
        <v/>
      </c>
      <c r="F77" s="15" t="n">
        <f aca="false">COUNTIFS('Theo dõi'!$B$2:$B$601,A77,'Theo dõi'!$H$2:$H$601,"Có")</f>
        <v>0</v>
      </c>
      <c r="G77" s="16" t="str">
        <f aca="false">IF(C77=0,"",F77/C77)</f>
        <v/>
      </c>
    </row>
    <row r="78" customFormat="false" ht="15" hidden="false" customHeight="false" outlineLevel="0" collapsed="false">
      <c r="A78" s="15" t="str">
        <f aca="false">'Câu hỏi'!A14</f>
        <v>Q13</v>
      </c>
      <c r="B78" s="15" t="str">
        <f aca="false">'Câu hỏi'!D14</f>
        <v>Làm sao chọn tour Trung Quốc No Shopping để không bị ép mua sắm?</v>
      </c>
      <c r="C78" s="15" t="n">
        <f aca="false">COUNTIFS('Theo dõi'!$B$2:$B$601,A78,'Theo dõi'!$D$2:$D$601,"&lt;&gt;")</f>
        <v>0</v>
      </c>
      <c r="D78" s="15" t="n">
        <f aca="false">COUNTIFS('Theo dõi'!$B$2:$B$601,A78,'Theo dõi'!$F$2:$F$601,"Có")</f>
        <v>0</v>
      </c>
      <c r="E78" s="16" t="str">
        <f aca="false">IF(C78=0,"",D78/C78)</f>
        <v/>
      </c>
      <c r="F78" s="15" t="n">
        <f aca="false">COUNTIFS('Theo dõi'!$B$2:$B$601,A78,'Theo dõi'!$H$2:$H$601,"Có")</f>
        <v>0</v>
      </c>
      <c r="G78" s="16" t="str">
        <f aca="false">IF(C78=0,"",F78/C78)</f>
        <v/>
      </c>
    </row>
    <row r="79" customFormat="false" ht="15" hidden="false" customHeight="false" outlineLevel="0" collapsed="false">
      <c r="A79" s="15" t="str">
        <f aca="false">'Câu hỏi'!A15</f>
        <v>Q14</v>
      </c>
      <c r="B79" s="15" t="str">
        <f aca="false">'Câu hỏi'!D15</f>
        <v>Đi Hàn Quốc theo tour cần giấy tờ visa gì, nộp hồ sơ trước bao lâu?</v>
      </c>
      <c r="C79" s="15" t="n">
        <f aca="false">COUNTIFS('Theo dõi'!$B$2:$B$601,A79,'Theo dõi'!$D$2:$D$601,"&lt;&gt;")</f>
        <v>0</v>
      </c>
      <c r="D79" s="15" t="n">
        <f aca="false">COUNTIFS('Theo dõi'!$B$2:$B$601,A79,'Theo dõi'!$F$2:$F$601,"Có")</f>
        <v>0</v>
      </c>
      <c r="E79" s="16" t="str">
        <f aca="false">IF(C79=0,"",D79/C79)</f>
        <v/>
      </c>
      <c r="F79" s="15" t="n">
        <f aca="false">COUNTIFS('Theo dõi'!$B$2:$B$601,A79,'Theo dõi'!$H$2:$H$601,"Có")</f>
        <v>0</v>
      </c>
      <c r="G79" s="16" t="str">
        <f aca="false">IF(C79=0,"",F79/C79)</f>
        <v/>
      </c>
    </row>
    <row r="80" customFormat="false" ht="15" hidden="false" customHeight="false" outlineLevel="0" collapsed="false">
      <c r="A80" s="15" t="str">
        <f aca="false">'Câu hỏi'!A16</f>
        <v>Q15</v>
      </c>
      <c r="B80" s="15" t="str">
        <f aca="false">'Câu hỏi'!D16</f>
        <v>Company trip 3 ngày 2 đêm cho 50 người đi Phan Thiết chi phí khoảng bao nhiêu?</v>
      </c>
      <c r="C80" s="15" t="n">
        <f aca="false">COUNTIFS('Theo dõi'!$B$2:$B$601,A80,'Theo dõi'!$D$2:$D$601,"&lt;&gt;")</f>
        <v>0</v>
      </c>
      <c r="D80" s="15" t="n">
        <f aca="false">COUNTIFS('Theo dõi'!$B$2:$B$601,A80,'Theo dõi'!$F$2:$F$601,"Có")</f>
        <v>0</v>
      </c>
      <c r="E80" s="16" t="str">
        <f aca="false">IF(C80=0,"",D80/C80)</f>
        <v/>
      </c>
      <c r="F80" s="15" t="n">
        <f aca="false">COUNTIFS('Theo dõi'!$B$2:$B$601,A80,'Theo dõi'!$H$2:$H$601,"Có")</f>
        <v>0</v>
      </c>
      <c r="G80" s="16" t="str">
        <f aca="false">IF(C80=0,"",F80/C80)</f>
        <v/>
      </c>
    </row>
    <row r="81" customFormat="false" ht="15" hidden="false" customHeight="false" outlineLevel="0" collapsed="false">
      <c r="A81" s="15" t="str">
        <f aca="false">'Câu hỏi'!A17</f>
        <v>Q16</v>
      </c>
      <c r="B81" s="15" t="str">
        <f aca="false">'Câu hỏi'!D17</f>
        <v>Tour Nhật Bản mùa thu ngắm lá đỏ khởi hành từ Sài Gòn, công ty nào có tour?</v>
      </c>
      <c r="C81" s="15" t="n">
        <f aca="false">COUNTIFS('Theo dõi'!$B$2:$B$601,A81,'Theo dõi'!$D$2:$D$601,"&lt;&gt;")</f>
        <v>0</v>
      </c>
      <c r="D81" s="15" t="n">
        <f aca="false">COUNTIFS('Theo dõi'!$B$2:$B$601,A81,'Theo dõi'!$F$2:$F$601,"Có")</f>
        <v>0</v>
      </c>
      <c r="E81" s="16" t="str">
        <f aca="false">IF(C81=0,"",D81/C81)</f>
        <v/>
      </c>
      <c r="F81" s="15" t="n">
        <f aca="false">COUNTIFS('Theo dõi'!$B$2:$B$601,A81,'Theo dõi'!$H$2:$H$601,"Có")</f>
        <v>0</v>
      </c>
      <c r="G81" s="16" t="str">
        <f aca="false">IF(C81=0,"",F81/C81)</f>
        <v/>
      </c>
    </row>
    <row r="82" customFormat="false" ht="15" hidden="false" customHeight="false" outlineLevel="0" collapsed="false">
      <c r="A82" s="15" t="str">
        <f aca="false">'Câu hỏi'!A18</f>
        <v>Q17</v>
      </c>
      <c r="B82" s="15" t="str">
        <f aca="false">'Câu hỏi'!D18</f>
        <v>Đi tour hay tự túc khi du lịch Trung Quốc lần đầu?</v>
      </c>
      <c r="C82" s="15" t="n">
        <f aca="false">COUNTIFS('Theo dõi'!$B$2:$B$601,A82,'Theo dõi'!$D$2:$D$601,"&lt;&gt;")</f>
        <v>0</v>
      </c>
      <c r="D82" s="15" t="n">
        <f aca="false">COUNTIFS('Theo dõi'!$B$2:$B$601,A82,'Theo dõi'!$F$2:$F$601,"Có")</f>
        <v>0</v>
      </c>
      <c r="E82" s="16" t="str">
        <f aca="false">IF(C82=0,"",D82/C82)</f>
        <v/>
      </c>
      <c r="F82" s="15" t="n">
        <f aca="false">COUNTIFS('Theo dõi'!$B$2:$B$601,A82,'Theo dõi'!$H$2:$H$601,"Có")</f>
        <v>0</v>
      </c>
      <c r="G82" s="16" t="str">
        <f aca="false">IF(C82=0,"",F82/C82)</f>
        <v/>
      </c>
    </row>
    <row r="83" customFormat="false" ht="15" hidden="false" customHeight="false" outlineLevel="0" collapsed="false">
      <c r="A83" s="15" t="str">
        <f aca="false">'Câu hỏi'!A19</f>
        <v>Q18</v>
      </c>
      <c r="B83" s="15" t="str">
        <f aca="false">'Câu hỏi'!D19</f>
        <v>PSV Travel ở đâu, hotline bao nhiêu?</v>
      </c>
      <c r="C83" s="15" t="n">
        <f aca="false">COUNTIFS('Theo dõi'!$B$2:$B$601,A83,'Theo dõi'!$D$2:$D$601,"&lt;&gt;")</f>
        <v>0</v>
      </c>
      <c r="D83" s="15" t="n">
        <f aca="false">COUNTIFS('Theo dõi'!$B$2:$B$601,A83,'Theo dõi'!$F$2:$F$601,"Có")</f>
        <v>0</v>
      </c>
      <c r="E83" s="16" t="str">
        <f aca="false">IF(C83=0,"",D83/C83)</f>
        <v/>
      </c>
      <c r="F83" s="15" t="n">
        <f aca="false">COUNTIFS('Theo dõi'!$B$2:$B$601,A83,'Theo dõi'!$H$2:$H$601,"Có")</f>
        <v>0</v>
      </c>
      <c r="G83" s="16" t="str">
        <f aca="false">IF(C83=0,"",F83/C83)</f>
        <v/>
      </c>
    </row>
    <row r="84" customFormat="false" ht="15" hidden="false" customHeight="false" outlineLevel="0" collapsed="false">
      <c r="A84" s="15" t="str">
        <f aca="false">'Câu hỏi'!A20</f>
        <v>Q19</v>
      </c>
      <c r="B84" s="15" t="str">
        <f aca="false">'Câu hỏi'!D20</f>
        <v>psvtravel.com là website của công ty nào?</v>
      </c>
      <c r="C84" s="15" t="n">
        <f aca="false">COUNTIFS('Theo dõi'!$B$2:$B$601,A84,'Theo dõi'!$D$2:$D$601,"&lt;&gt;")</f>
        <v>0</v>
      </c>
      <c r="D84" s="15" t="n">
        <f aca="false">COUNTIFS('Theo dõi'!$B$2:$B$601,A84,'Theo dõi'!$F$2:$F$601,"Có")</f>
        <v>0</v>
      </c>
      <c r="E84" s="16" t="str">
        <f aca="false">IF(C84=0,"",D84/C84)</f>
        <v/>
      </c>
      <c r="F84" s="15" t="n">
        <f aca="false">COUNTIFS('Theo dõi'!$B$2:$B$601,A84,'Theo dõi'!$H$2:$H$601,"Có")</f>
        <v>0</v>
      </c>
      <c r="G84" s="16" t="str">
        <f aca="false">IF(C84=0,"",F84/C84)</f>
        <v/>
      </c>
    </row>
    <row r="85" customFormat="false" ht="15" hidden="false" customHeight="false" outlineLevel="0" collapsed="false">
      <c r="A85" s="15" t="str">
        <f aca="false">'Câu hỏi'!A21</f>
        <v>Q20</v>
      </c>
      <c r="B85" s="15" t="str">
        <f aca="false">'Câu hỏi'!D21</f>
        <v>Cách nấu phở bò ngon tại nhà?</v>
      </c>
      <c r="C85" s="15" t="n">
        <f aca="false">COUNTIFS('Theo dõi'!$B$2:$B$601,A85,'Theo dõi'!$D$2:$D$601,"&lt;&gt;")</f>
        <v>0</v>
      </c>
      <c r="D85" s="15" t="n">
        <f aca="false">COUNTIFS('Theo dõi'!$B$2:$B$601,A85,'Theo dõi'!$F$2:$F$601,"Có")</f>
        <v>0</v>
      </c>
      <c r="E85" s="16" t="str">
        <f aca="false">IF(C85=0,"",D85/C85)</f>
        <v/>
      </c>
      <c r="F85" s="15" t="n">
        <f aca="false">COUNTIFS('Theo dõi'!$B$2:$B$601,A85,'Theo dõi'!$H$2:$H$601,"Có")</f>
        <v>0</v>
      </c>
      <c r="G85" s="16" t="str">
        <f aca="false">IF(C85=0,"",F85/C85)</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14"/>
    <col collapsed="false" customWidth="true" hidden="false" outlineLevel="0" max="3" min="3" style="0" width="90"/>
  </cols>
  <sheetData>
    <row r="1" customFormat="false" ht="15" hidden="false" customHeight="false" outlineLevel="0" collapsed="false">
      <c r="A1" s="19" t="s">
        <v>157</v>
      </c>
    </row>
    <row r="3" customFormat="false" ht="26.85" hidden="false" customHeight="false" outlineLevel="0" collapsed="false">
      <c r="A3" s="4" t="s">
        <v>158</v>
      </c>
      <c r="B3" s="4" t="s">
        <v>159</v>
      </c>
      <c r="C3" s="4" t="s">
        <v>160</v>
      </c>
    </row>
    <row r="4" customFormat="false" ht="26.85" hidden="false" customHeight="false" outlineLevel="0" collapsed="false">
      <c r="A4" s="6" t="s">
        <v>161</v>
      </c>
      <c r="B4" s="6" t="s">
        <v>36</v>
      </c>
      <c r="C4" s="6" t="s">
        <v>162</v>
      </c>
    </row>
    <row r="5" customFormat="false" ht="15" hidden="false" customHeight="false" outlineLevel="0" collapsed="false">
      <c r="A5" s="6" t="s">
        <v>163</v>
      </c>
      <c r="B5" s="6" t="s">
        <v>36</v>
      </c>
      <c r="C5" s="6" t="s">
        <v>164</v>
      </c>
    </row>
    <row r="6" customFormat="false" ht="15" hidden="false" customHeight="false" outlineLevel="0" collapsed="false">
      <c r="A6" s="6" t="s">
        <v>165</v>
      </c>
      <c r="B6" s="6" t="s">
        <v>36</v>
      </c>
      <c r="C6" s="6" t="s">
        <v>166</v>
      </c>
    </row>
    <row r="7" customFormat="false" ht="26.85" hidden="false" customHeight="false" outlineLevel="0" collapsed="false">
      <c r="A7" s="6" t="s">
        <v>167</v>
      </c>
      <c r="B7" s="6" t="s">
        <v>36</v>
      </c>
      <c r="C7" s="6" t="s">
        <v>168</v>
      </c>
    </row>
    <row r="8" customFormat="false" ht="26.85" hidden="false" customHeight="false" outlineLevel="0" collapsed="false">
      <c r="A8" s="6" t="s">
        <v>169</v>
      </c>
      <c r="B8" s="6" t="s">
        <v>36</v>
      </c>
      <c r="C8" s="6" t="s">
        <v>170</v>
      </c>
    </row>
    <row r="9" customFormat="false" ht="26.85" hidden="false" customHeight="false" outlineLevel="0" collapsed="false">
      <c r="A9" s="6" t="s">
        <v>171</v>
      </c>
      <c r="B9" s="6" t="s">
        <v>36</v>
      </c>
      <c r="C9" s="6" t="s">
        <v>172</v>
      </c>
    </row>
    <row r="10" customFormat="false" ht="26.85" hidden="false" customHeight="false" outlineLevel="0" collapsed="false">
      <c r="A10" s="6" t="s">
        <v>173</v>
      </c>
      <c r="B10" s="6" t="s">
        <v>36</v>
      </c>
      <c r="C10" s="6" t="s">
        <v>174</v>
      </c>
    </row>
    <row r="11" customFormat="false" ht="15" hidden="false" customHeight="false" outlineLevel="0" collapsed="false">
      <c r="A11" s="6" t="s">
        <v>175</v>
      </c>
      <c r="B11" s="6" t="s">
        <v>36</v>
      </c>
      <c r="C11" s="6" t="s">
        <v>176</v>
      </c>
    </row>
    <row r="14" customFormat="false" ht="15" hidden="false" customHeight="false" outlineLevel="0" collapsed="false">
      <c r="A14" s="20" t="s">
        <v>177</v>
      </c>
    </row>
    <row r="15" customFormat="false" ht="15" hidden="false" customHeight="false" outlineLevel="0" collapsed="false">
      <c r="A15" s="21" t="s">
        <v>178</v>
      </c>
    </row>
    <row r="16" customFormat="false" ht="15" hidden="false" customHeight="false" outlineLevel="0" collapsed="false">
      <c r="A16" s="21" t="s">
        <v>179</v>
      </c>
    </row>
    <row r="17" customFormat="false" ht="15" hidden="false" customHeight="false" outlineLevel="0" collapsed="false">
      <c r="A17" s="21" t="s">
        <v>180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2026-10-22T09:52:31Z</dcterms:created>
  <dc:creator>openpyxl</dc:creator>
  <dc:description/>
  <dc:language>en-US</dc:language>
  <cp:lastModifiedBy/>
  <dcterms:modified xsi:type="dcterms:W3CDTF">2026-10-22T09:52:32Z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