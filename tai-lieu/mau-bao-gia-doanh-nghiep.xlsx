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áo giá" sheetId="1" state="visible" r:id="rId3"/>
    <sheet name="Bảng đơn giá" sheetId="2" state="visible" r:id="rId4"/>
    <sheet name="Hướng dẫn" sheetId="3" state="visible" r:id="rId5"/>
  </sheets>
  <definedNames>
    <definedName function="false" hidden="false" localSheetId="0" name="_xlnm.Print_Area" vbProcedure="false">'Báo giá'!$A$1:$I$60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<sst xmlns="http://schemas.openxmlformats.org/spreadsheetml/2006/main" count="250" uniqueCount="202">
  <si>
    <t xml:space="preserve">CÔNG TY CỔ PHẦN DU LỊCH P.S.V TRAVEL</t>
  </si>
  <si>
    <t xml:space="preserve">529 Huỳnh Tấn Phát, Phường Tân Thuận, TP. Hồ Chí Minh · Hotline 0907 870 707</t>
  </si>
  <si>
    <t xml:space="preserve">nguyendusit399@gmail.com · psvtravel.com · MST 0314542363 · GP LHQT 79-769/2020/CDLQGVN-GP LHQT</t>
  </si>
  <si>
    <t xml:space="preserve">BÁO GIÁ DỊCH VỤ DU LỊCH / SỰ KIỆN DOANH NGHIỆP</t>
  </si>
  <si>
    <t xml:space="preserve">Số báo giá:</t>
  </si>
  <si>
    <t xml:space="preserve">BG-2026-001</t>
  </si>
  <si>
    <t xml:space="preserve">Ngày lập:</t>
  </si>
  <si>
    <t xml:space="preserve">Hiệu lực (ngày):</t>
  </si>
  <si>
    <t xml:space="preserve">Hiệu lực đến:</t>
  </si>
  <si>
    <t xml:space="preserve">THÔNG TIN KHÁCH HÀNG &amp; CHƯƠNG TRÌNH</t>
  </si>
  <si>
    <t xml:space="preserve">Công ty:</t>
  </si>
  <si>
    <t xml:space="preserve">Mã số thuế:</t>
  </si>
  <si>
    <t xml:space="preserve">Người liên hệ:</t>
  </si>
  <si>
    <t xml:space="preserve">Điện thoại:</t>
  </si>
  <si>
    <t xml:space="preserve">Email:</t>
  </si>
  <si>
    <t xml:space="preserve">Số khách:</t>
  </si>
  <si>
    <t xml:space="preserve">Chương trình:</t>
  </si>
  <si>
    <t xml:space="preserve">Điểm đến:</t>
  </si>
  <si>
    <t xml:space="preserve">Ngày đi:</t>
  </si>
  <si>
    <t xml:space="preserve">Ngày về:</t>
  </si>
  <si>
    <t xml:space="preserve">STT</t>
  </si>
  <si>
    <t xml:space="preserve">Hạng mục (chọn từ bảng giá hoặc gõ)</t>
  </si>
  <si>
    <t xml:space="preserve">Diễn giải</t>
  </si>
  <si>
    <t xml:space="preserve">Đơn vị</t>
  </si>
  <si>
    <t xml:space="preserve">Số lượng</t>
  </si>
  <si>
    <t xml:space="preserve">Số ngày / lần</t>
  </si>
  <si>
    <t xml:space="preserve">Đơn giá nhập tay</t>
  </si>
  <si>
    <t xml:space="preserve">Đơn giá áp dụng</t>
  </si>
  <si>
    <t xml:space="preserve">Thành tiền (VNĐ)</t>
  </si>
  <si>
    <t xml:space="preserve">Phí dịch vụ (% trên tạm tính):</t>
  </si>
  <si>
    <t xml:space="preserve">Tạm tính</t>
  </si>
  <si>
    <t xml:space="preserve">Giảm giá (VNĐ):</t>
  </si>
  <si>
    <t xml:space="preserve">Phí dịch vụ</t>
  </si>
  <si>
    <t xml:space="preserve">Thuế VAT (chọn 0% / 8% / 10%):</t>
  </si>
  <si>
    <t xml:space="preserve">Giảm giá</t>
  </si>
  <si>
    <t xml:space="preserve">Đặt cọc (% tổng cộng):</t>
  </si>
  <si>
    <t xml:space="preserve">Tổng trước thuế</t>
  </si>
  <si>
    <t xml:space="preserve">Thuế VAT</t>
  </si>
  <si>
    <t xml:space="preserve">TỔNG CỘNG</t>
  </si>
  <si>
    <t xml:space="preserve">Giá trung bình / khách</t>
  </si>
  <si>
    <t xml:space="preserve">Đặt cọc</t>
  </si>
  <si>
    <t xml:space="preserve">Còn lại</t>
  </si>
  <si>
    <t xml:space="preserve">ĐIỀU KHOẢN</t>
  </si>
  <si>
    <t xml:space="preserve">Giá đã bao gồm:</t>
  </si>
  <si>
    <t xml:space="preserve">[Điền: các hạng mục trong bảng trên, bảo hiểm, HDV…]</t>
  </si>
  <si>
    <t xml:space="preserve">Giá chưa bao gồm:</t>
  </si>
  <si>
    <t xml:space="preserve">[Điền: chi tiêu cá nhân, đồ uống ngoài chương trình…]</t>
  </si>
  <si>
    <t xml:space="preserve">Thanh toán:</t>
  </si>
  <si>
    <t xml:space="preserve">[Điền: tỉ lệ cọc khi ký hợp đồng, hạn thanh toán phần còn lại, chuyển khoản]</t>
  </si>
  <si>
    <t xml:space="preserve">Huỷ / đổi:</t>
  </si>
  <si>
    <t xml:space="preserve">[Điền: chính sách huỷ, đổi ngày theo từng mốc thời gian]</t>
  </si>
  <si>
    <t xml:space="preserve">ĐẠI DIỆN PSV TRAVEL</t>
  </si>
  <si>
    <t xml:space="preserve">XÁC NHẬN CỦA KHÁCH HÀNG</t>
  </si>
  <si>
    <t xml:space="preserve">(Ký, ghi rõ họ tên)</t>
  </si>
  <si>
    <t xml:space="preserve">(Ký, đóng dấu)</t>
  </si>
  <si>
    <t xml:space="preserve">BẢNG ĐƠN GIÁ THAM KHẢO — sales điền giá thật vào cột E (nền vàng)</t>
  </si>
  <si>
    <t xml:space="preserve">Hạng mục chọn ở sheet Báo giá sẽ tự lấy đơn vị + đơn giá ở đây. Thêm hạng mục mới: ghi tiếp vào dòng trống bên dưới (tối đa dòng 80).</t>
  </si>
  <si>
    <t xml:space="preserve">Mã</t>
  </si>
  <si>
    <t xml:space="preserve">Nhóm</t>
  </si>
  <si>
    <t xml:space="preserve">Hạng mục</t>
  </si>
  <si>
    <t xml:space="preserve">Đơn giá (VNĐ)</t>
  </si>
  <si>
    <t xml:space="preserve">Ghi chú (nhà cung cấp, mùa, cập nhật ngày)</t>
  </si>
  <si>
    <t xml:space="preserve">M01</t>
  </si>
  <si>
    <t xml:space="preserve">Vận chuyển</t>
  </si>
  <si>
    <t xml:space="preserve">Xe 16 chỗ</t>
  </si>
  <si>
    <t xml:space="preserve">xe/ngày</t>
  </si>
  <si>
    <t xml:space="preserve">M02</t>
  </si>
  <si>
    <t xml:space="preserve">Xe 29 chỗ</t>
  </si>
  <si>
    <t xml:space="preserve">M03</t>
  </si>
  <si>
    <t xml:space="preserve">Xe 35 chỗ</t>
  </si>
  <si>
    <t xml:space="preserve">M04</t>
  </si>
  <si>
    <t xml:space="preserve">Xe 45 chỗ</t>
  </si>
  <si>
    <t xml:space="preserve">M05</t>
  </si>
  <si>
    <t xml:space="preserve">Vé máy bay khứ hồi</t>
  </si>
  <si>
    <t xml:space="preserve">khách</t>
  </si>
  <si>
    <t xml:space="preserve">M06</t>
  </si>
  <si>
    <t xml:space="preserve">Tàu / cano</t>
  </si>
  <si>
    <t xml:space="preserve">M07</t>
  </si>
  <si>
    <t xml:space="preserve">Lưu trú</t>
  </si>
  <si>
    <t xml:space="preserve">Khách sạn 3 sao (phòng đôi)</t>
  </si>
  <si>
    <t xml:space="preserve">phòng/đêm</t>
  </si>
  <si>
    <t xml:space="preserve">M08</t>
  </si>
  <si>
    <t xml:space="preserve">Khách sạn 4 sao (phòng đôi)</t>
  </si>
  <si>
    <t xml:space="preserve">M09</t>
  </si>
  <si>
    <t xml:space="preserve">Khách sạn 5 sao (phòng đôi)</t>
  </si>
  <si>
    <t xml:space="preserve">M10</t>
  </si>
  <si>
    <t xml:space="preserve">Resort (phòng đôi)</t>
  </si>
  <si>
    <t xml:space="preserve">M11</t>
  </si>
  <si>
    <t xml:space="preserve">Ăn uống</t>
  </si>
  <si>
    <t xml:space="preserve">Ăn sáng</t>
  </si>
  <si>
    <t xml:space="preserve">khách/bữa</t>
  </si>
  <si>
    <t xml:space="preserve">M12</t>
  </si>
  <si>
    <t xml:space="preserve">Ăn chính</t>
  </si>
  <si>
    <t xml:space="preserve">M13</t>
  </si>
  <si>
    <t xml:space="preserve">Tiệc gala dinner</t>
  </si>
  <si>
    <t xml:space="preserve">M14</t>
  </si>
  <si>
    <t xml:space="preserve">Tham quan</t>
  </si>
  <si>
    <t xml:space="preserve">Vé tham quan</t>
  </si>
  <si>
    <t xml:space="preserve">M15</t>
  </si>
  <si>
    <t xml:space="preserve">Team building</t>
  </si>
  <si>
    <t xml:space="preserve">Chương trình team building (kịch bản + điều phối)</t>
  </si>
  <si>
    <t xml:space="preserve">gói</t>
  </si>
  <si>
    <t xml:space="preserve">M16</t>
  </si>
  <si>
    <t xml:space="preserve">Dụng cụ trò chơi</t>
  </si>
  <si>
    <t xml:space="preserve">M17</t>
  </si>
  <si>
    <t xml:space="preserve">Áo đồng phục</t>
  </si>
  <si>
    <t xml:space="preserve">cái</t>
  </si>
  <si>
    <t xml:space="preserve">M18</t>
  </si>
  <si>
    <t xml:space="preserve">Băng rôn / backdrop</t>
  </si>
  <si>
    <t xml:space="preserve">bộ</t>
  </si>
  <si>
    <t xml:space="preserve">M19</t>
  </si>
  <si>
    <t xml:space="preserve">Gala &amp; sự kiện</t>
  </si>
  <si>
    <t xml:space="preserve">Âm thanh, ánh sáng</t>
  </si>
  <si>
    <t xml:space="preserve">M20</t>
  </si>
  <si>
    <t xml:space="preserve">Sân khấu</t>
  </si>
  <si>
    <t xml:space="preserve">M21</t>
  </si>
  <si>
    <t xml:space="preserve">MC</t>
  </si>
  <si>
    <t xml:space="preserve">người/buổi</t>
  </si>
  <si>
    <t xml:space="preserve">M22</t>
  </si>
  <si>
    <t xml:space="preserve">Tiết mục biểu diễn</t>
  </si>
  <si>
    <t xml:space="preserve">tiết mục</t>
  </si>
  <si>
    <t xml:space="preserve">M23</t>
  </si>
  <si>
    <t xml:space="preserve">Nhân sự</t>
  </si>
  <si>
    <t xml:space="preserve">Hướng dẫn viên</t>
  </si>
  <si>
    <t xml:space="preserve">người/ngày</t>
  </si>
  <si>
    <t xml:space="preserve">M24</t>
  </si>
  <si>
    <t xml:space="preserve">Điều phối viên</t>
  </si>
  <si>
    <t xml:space="preserve">M25</t>
  </si>
  <si>
    <t xml:space="preserve">Quay phim, chụp ảnh</t>
  </si>
  <si>
    <t xml:space="preserve">M26</t>
  </si>
  <si>
    <t xml:space="preserve">Khác</t>
  </si>
  <si>
    <t xml:space="preserve">Bảo hiểm du lịch</t>
  </si>
  <si>
    <t xml:space="preserve">M27</t>
  </si>
  <si>
    <t xml:space="preserve">Nước uống, khăn lạnh</t>
  </si>
  <si>
    <t xml:space="preserve">khách/ngày</t>
  </si>
  <si>
    <t xml:space="preserve">M28</t>
  </si>
  <si>
    <t xml:space="preserve">Visa</t>
  </si>
  <si>
    <t xml:space="preserve">M29</t>
  </si>
  <si>
    <t xml:space="preserve">Quà tặng</t>
  </si>
  <si>
    <t xml:space="preserve">phần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</si>
  <si>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</si>
  <si>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</si>
  <si>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</si>
  <si>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</si>
  <si>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</si>
  <si>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</si>
  <si>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</si>
  <si>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</si>
  <si>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</si>
  <si>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</si>
  <si>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</si>
  <si>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</si>
  <si>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</si>
  <si>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</si>
  <si>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</si>
  <si>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</si>
  <si>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</si>
  <si>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</si>
  <si>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</si>
  <si>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</si>
  <si>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</si>
  <si>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</si>
  <si>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</si>
  <si>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</si>
  <si>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</si>
  <si>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</si>
  <si>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</si>
  <si>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</si>
  <si>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</si>
  <si>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</si>
  <si>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</si>
  <si>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M61</t>
  </si>
  <si>
    <t xml:space="preserve">M62</t>
  </si>
  <si>
    <t xml:space="preserve">M63</t>
  </si>
  <si>
    <t xml:space="preserve">M64</t>
  </si>
  <si>
    <t xml:space="preserve">M65</t>
  </si>
  <si>
    <t xml:space="preserve">M66</t>
  </si>
  <si>
    <t xml:space="preserve">M67</t>
  </si>
  <si>
    <t xml:space="preserve">M68</t>
  </si>
  <si>
    <t xml:space="preserve">M69</t>
  </si>
  <si>
    <t xml:space="preserve">M70</t>
  </si>
  <si>
    <t xml:space="preserve">M71</t>
  </si>
  <si>
    <t xml:space="preserve">M72</t>
  </si>
  <si>
    <t xml:space="preserve">M73</t>
  </si>
  <si>
    <t xml:space="preserve">M74</t>
  </si>
  <si>
    <t xml:space="preserve">M75</t>
  </si>
  <si>
    <t xml:space="preserve">M76</t>
  </si>
  <si>
    <t xml:space="preserve">MẪU BÁO GIÁ NHANH CHO DOANH NGHIỆP — CÁCH DÙNG</t>
  </si>
  <si>
    <t xml:space="preserve">Chỉ điền các ô NỀN VÀNG, chữ xanh. Ô trắng là công thức, tự tính — không gõ đè.</t>
  </si>
  <si>
    <t xml:space="preserve">1. Lần đầu: sang sheet "Bảng đơn giá", điền đơn giá thật vào cột E (giá đang để trống vì mỗi mùa, mỗi nhà cung cấp một khác).</t>
  </si>
  <si>
    <t xml:space="preserve">2. Mỗi báo giá: chép sheet "Báo giá" (chuột phải → Move or Copy → Create a copy), đặt tên theo khách.</t>
  </si>
  <si>
    <t xml:space="preserve">3. Điền thông tin khách, SỐ KHÁCH (để tính giá / khách), rồi chọn hạng mục ở cột B — đơn vị và đơn giá tự lấy từ bảng giá.</t>
  </si>
  <si>
    <t xml:space="preserve">   Giá lần này khác bảng giá: gõ vào cột "Đơn giá nhập tay". Hạng mục không có trong bảng: gõ tên + nhập tay đơn giá.</t>
  </si>
  <si>
    <t xml:space="preserve">   Ô "Đơn giá áp dụng" tô cam = đã chọn hạng mục nhưng chưa có giá.</t>
  </si>
  <si>
    <t xml:space="preserve">4. Số ngày / lần để trống = 1. VD xe 29 chỗ × 2 xe × 3 ngày: Số lượng 2, Số ngày 3.</t>
  </si>
  <si>
    <t xml:space="preserve">5. Chọn mức VAT (ô tô cam khi chưa chọn), % đặt cọc, phí dịch vụ nếu có. Điền phần Điều khoản trước khi gửi.</t>
  </si>
  <si>
    <t xml:space="preserve">6. In / xuất PDF: File → Print (khổ A4 dọc, đã căn sẵn vừa trang).</t>
  </si>
  <si>
    <t xml:space="preserve">VÍ DỤ (số minh hoạ, KHÔNG phải giá thật của PSV):</t>
  </si>
  <si>
    <t xml:space="preserve">Đơn giá</t>
  </si>
  <si>
    <t xml:space="preserve">Thành tiền</t>
  </si>
  <si>
    <t xml:space="preserve">Đưa đón TP.HCM – Phan Thiết</t>
  </si>
  <si>
    <t xml:space="preserve">2 khách / phòng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</si>
</sst>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"/>
    <numFmt numFmtId="167" formatCode="#,##0.##"/>
    <numFmt numFmtId="168" formatCode="#,##0;\(#,##0\);\-"/>
    <numFmt numFmtId="169" formatCode="0.0%"/>
    <numFmt numFmtId="170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13C65"/>
      <name val="Arial"/>
      <family val="0"/>
      <charset val="1"/>
    </font>
    <font>
      <sz val="9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15"/>
      <color rgb="FF0169A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13C65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555555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color rgb="FF0169A9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AF4FB"/>
      </patternFill>
    </fill>
    <fill>
      <patternFill patternType="solid">
        <fgColor rgb="FF0169A9"/>
        <bgColor rgb="FF008080"/>
      </patternFill>
    </fill>
    <fill>
      <patternFill patternType="solid">
        <fgColor rgb="FFEAF4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C9D9"/>
      </left>
      <right/>
      <top style="thin">
        <color rgb="FFB7C9D9"/>
      </top>
      <bottom style="thin">
        <color rgb="FFB7C9D9"/>
      </bottom>
      <diagonal/>
    </border>
    <border diagonalUp="false" diagonalDown="false">
      <left style="thin">
        <color rgb="FFB7C9D9"/>
      </left>
      <right style="thin">
        <color rgb="FFB7C9D9"/>
      </right>
      <top style="thin">
        <color rgb="FFB7C9D9"/>
      </top>
      <bottom style="thin">
        <color rgb="FFB7C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9"/>
      <rgbColor rgb="FF808080"/>
      <rgbColor rgb="FF9999FF"/>
      <rgbColor rgb="FF993366"/>
      <rgbColor rgb="FFFFF2CC"/>
      <rgbColor rgb="FFEAF4FB"/>
      <rgbColor rgb="FF660066"/>
      <rgbColor rgb="FFFF8080"/>
      <rgbColor rgb="FF0169A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13C6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923400</xdr:colOff>
      <xdr:row>2</xdr:row>
      <xdr:rowOff>114120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275840" cy="495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6" min="5" style="0" width="9"/>
    <col collapsed="false" customWidth="true" hidden="false" outlineLevel="0" max="8" min="7" style="0" width="14"/>
    <col collapsed="false" customWidth="true" hidden="false" outlineLevel="0" max="9" min="9" style="0" width="16"/>
  </cols>
  <sheetData>
    <row r="1" customFormat="false" ht="15" hidden="false" customHeight="false" outlineLevel="0" collapsed="false">
      <c r="D1" s="1" t="s">
        <v>0</v>
      </c>
      <c r="E1" s="1"/>
      <c r="F1" s="1"/>
      <c r="G1" s="1"/>
      <c r="H1" s="1"/>
      <c r="I1" s="1"/>
    </row>
    <row r="2" customFormat="false" ht="15" hidden="false" customHeight="false" outlineLevel="0" collapsed="false">
      <c r="D2" s="2" t="s">
        <v>1</v>
      </c>
      <c r="E2" s="2"/>
      <c r="F2" s="2"/>
      <c r="G2" s="2"/>
      <c r="H2" s="2"/>
      <c r="I2" s="2"/>
    </row>
    <row r="3" customFormat="false" ht="15" hidden="false" customHeight="false" outlineLevel="0" collapsed="false">
      <c r="D3" s="3" t="s">
        <v>2</v>
      </c>
      <c r="E3" s="3"/>
      <c r="F3" s="3"/>
      <c r="G3" s="3"/>
      <c r="H3" s="3"/>
      <c r="I3" s="3"/>
    </row>
    <row r="5" customFormat="false" ht="18.55" hidden="false" customHeight="fals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</row>
    <row r="7" customFormat="false" ht="15" hidden="false" customHeight="false" outlineLevel="0" collapsed="false">
      <c r="A7" s="5" t="s">
        <v>4</v>
      </c>
      <c r="B7" s="5"/>
      <c r="C7" s="6" t="s">
        <v>5</v>
      </c>
      <c r="D7" s="6"/>
      <c r="F7" s="5" t="s">
        <v>6</v>
      </c>
      <c r="G7" s="5"/>
      <c r="H7" s="7" t="n">
        <f aca="true">TODAY()</f>
        <v>46317</v>
      </c>
      <c r="I7" s="7"/>
    </row>
    <row r="8" customFormat="false" ht="15" hidden="false" customHeight="false" outlineLevel="0" collapsed="false">
      <c r="A8" s="5" t="s">
        <v>7</v>
      </c>
      <c r="B8" s="5"/>
      <c r="C8" s="8" t="n">
        <v>15</v>
      </c>
      <c r="F8" s="5" t="s">
        <v>8</v>
      </c>
      <c r="G8" s="5"/>
      <c r="H8" s="9" t="n">
        <f aca="false">IF(H7="","",H7+C8)</f>
        <v>46332</v>
      </c>
      <c r="I8" s="9"/>
    </row>
    <row r="10" customFormat="false" ht="15" hidden="false" customHeight="false" outlineLevel="0" collapsed="false">
      <c r="A10" s="10" t="s">
        <v>9</v>
      </c>
      <c r="B10" s="10"/>
      <c r="C10" s="10"/>
      <c r="D10" s="10"/>
      <c r="E10" s="10"/>
      <c r="F10" s="10"/>
      <c r="G10" s="10"/>
      <c r="H10" s="10"/>
      <c r="I10" s="10"/>
    </row>
    <row r="11" customFormat="false" ht="15" hidden="false" customHeight="false" outlineLevel="0" collapsed="false">
      <c r="A11" s="5" t="s">
        <v>10</v>
      </c>
      <c r="B11" s="5"/>
      <c r="C11" s="6"/>
      <c r="D11" s="6"/>
      <c r="E11" s="6"/>
      <c r="F11" s="5" t="s">
        <v>11</v>
      </c>
      <c r="G11" s="5"/>
      <c r="H11" s="6"/>
      <c r="I11" s="6"/>
    </row>
    <row r="12" customFormat="false" ht="15" hidden="false" customHeight="false" outlineLevel="0" collapsed="false">
      <c r="A12" s="5" t="s">
        <v>12</v>
      </c>
      <c r="B12" s="5"/>
      <c r="C12" s="6"/>
      <c r="D12" s="6"/>
      <c r="E12" s="6"/>
      <c r="F12" s="5" t="s">
        <v>13</v>
      </c>
      <c r="G12" s="5"/>
      <c r="H12" s="6"/>
      <c r="I12" s="6"/>
    </row>
    <row r="13" customFormat="false" ht="15" hidden="false" customHeight="false" outlineLevel="0" collapsed="false">
      <c r="A13" s="5" t="s">
        <v>14</v>
      </c>
      <c r="B13" s="5"/>
      <c r="C13" s="6"/>
      <c r="D13" s="6"/>
      <c r="E13" s="6"/>
      <c r="F13" s="5" t="s">
        <v>15</v>
      </c>
      <c r="G13" s="5"/>
      <c r="H13" s="11"/>
      <c r="I13" s="11"/>
    </row>
    <row r="14" customFormat="false" ht="15" hidden="false" customHeight="false" outlineLevel="0" collapsed="false">
      <c r="A14" s="5" t="s">
        <v>16</v>
      </c>
      <c r="B14" s="5"/>
      <c r="C14" s="6"/>
      <c r="D14" s="6"/>
      <c r="E14" s="6"/>
      <c r="F14" s="5" t="s">
        <v>17</v>
      </c>
      <c r="G14" s="5"/>
      <c r="H14" s="6"/>
      <c r="I14" s="6"/>
    </row>
    <row r="15" customFormat="false" ht="15" hidden="false" customHeight="false" outlineLevel="0" collapsed="false">
      <c r="A15" s="5" t="s">
        <v>18</v>
      </c>
      <c r="B15" s="5"/>
      <c r="C15" s="7"/>
      <c r="D15" s="7"/>
      <c r="E15" s="7"/>
      <c r="F15" s="5" t="s">
        <v>19</v>
      </c>
      <c r="G15" s="5"/>
      <c r="H15" s="7"/>
      <c r="I15" s="7"/>
    </row>
    <row r="17" customFormat="false" ht="30" hidden="false" customHeight="true" outlineLevel="0" collapsed="false">
      <c r="A17" s="12" t="s">
        <v>20</v>
      </c>
      <c r="B17" s="12" t="s">
        <v>21</v>
      </c>
      <c r="C17" s="12" t="s">
        <v>22</v>
      </c>
      <c r="D17" s="12" t="s">
        <v>23</v>
      </c>
      <c r="E17" s="12" t="s">
        <v>24</v>
      </c>
      <c r="F17" s="12" t="s">
        <v>25</v>
      </c>
      <c r="G17" s="12" t="s">
        <v>26</v>
      </c>
      <c r="H17" s="12" t="s">
        <v>27</v>
      </c>
      <c r="I17" s="12" t="s">
        <v>28</v>
      </c>
    </row>
    <row r="18" customFormat="false" ht="15" hidden="false" customHeight="false" outlineLevel="0" collapsed="false">
      <c r="A18" s="13" t="str">
        <f aca="false">IF(B18="","",COUNTA($B$18:B18))</f>
        <v/>
      </c>
      <c r="B18" s="14"/>
      <c r="C18" s="14"/>
      <c r="D18" s="13" t="str">
        <f aca="false">IF(B18="","",IFERROR(INDEX('Bảng đơn giá'!$D$5:$D$80,MATCH(B18,'Bảng đơn giá'!$C$5:$C$80,0)),""))</f>
        <v/>
      </c>
      <c r="E18" s="15"/>
      <c r="F18" s="15"/>
      <c r="G18" s="16"/>
      <c r="H18" s="17" t="str">
        <f aca="false">IF(B18="","",IF(G18&lt;&gt;"",G18,IFERROR(INDEX('Bảng đơn giá'!$E$5:$E$80,MATCH(B18,'Bảng đơn giá'!$C$5:$C$80,0)),0)))</f>
        <v/>
      </c>
      <c r="I18" s="17" t="str">
        <f aca="false">IF(B18="","",E18*IF(F18="",1,F18)*H18)</f>
        <v/>
      </c>
    </row>
    <row r="19" customFormat="false" ht="15" hidden="false" customHeight="false" outlineLevel="0" collapsed="false">
      <c r="A19" s="13" t="str">
        <f aca="false">IF(B19="","",COUNTA($B$18:B19))</f>
        <v/>
      </c>
      <c r="B19" s="14"/>
      <c r="C19" s="14"/>
      <c r="D19" s="13" t="str">
        <f aca="false">IF(B19="","",IFERROR(INDEX('Bảng đơn giá'!$D$5:$D$80,MATCH(B19,'Bảng đơn giá'!$C$5:$C$80,0)),""))</f>
        <v/>
      </c>
      <c r="E19" s="15"/>
      <c r="F19" s="15"/>
      <c r="G19" s="16"/>
      <c r="H19" s="17" t="str">
        <f aca="false">IF(B19="","",IF(G19&lt;&gt;"",G19,IFERROR(INDEX('Bảng đơn giá'!$E$5:$E$80,MATCH(B19,'Bảng đơn giá'!$C$5:$C$80,0)),0)))</f>
        <v/>
      </c>
      <c r="I19" s="17" t="str">
        <f aca="false">IF(B19="","",E19*IF(F19="",1,F19)*H19)</f>
        <v/>
      </c>
    </row>
    <row r="20" customFormat="false" ht="15" hidden="false" customHeight="false" outlineLevel="0" collapsed="false">
      <c r="A20" s="13" t="str">
        <f aca="false">IF(B20="","",COUNTA($B$18:B20))</f>
        <v/>
      </c>
      <c r="B20" s="14"/>
      <c r="C20" s="14"/>
      <c r="D20" s="13" t="str">
        <f aca="false">IF(B20="","",IFERROR(INDEX('Bảng đơn giá'!$D$5:$D$80,MATCH(B20,'Bảng đơn giá'!$C$5:$C$80,0)),""))</f>
        <v/>
      </c>
      <c r="E20" s="15"/>
      <c r="F20" s="15"/>
      <c r="G20" s="16"/>
      <c r="H20" s="17" t="str">
        <f aca="false">IF(B20="","",IF(G20&lt;&gt;"",G20,IFERROR(INDEX('Bảng đơn giá'!$E$5:$E$80,MATCH(B20,'Bảng đơn giá'!$C$5:$C$80,0)),0)))</f>
        <v/>
      </c>
      <c r="I20" s="17" t="str">
        <f aca="false">IF(B20="","",E20*IF(F20="",1,F20)*H20)</f>
        <v/>
      </c>
    </row>
    <row r="21" customFormat="false" ht="15" hidden="false" customHeight="false" outlineLevel="0" collapsed="false">
      <c r="A21" s="13" t="str">
        <f aca="false">IF(B21="","",COUNTA($B$18:B21))</f>
        <v/>
      </c>
      <c r="B21" s="14"/>
      <c r="C21" s="14"/>
      <c r="D21" s="13" t="str">
        <f aca="false">IF(B21="","",IFERROR(INDEX('Bảng đơn giá'!$D$5:$D$80,MATCH(B21,'Bảng đơn giá'!$C$5:$C$80,0)),""))</f>
        <v/>
      </c>
      <c r="E21" s="15"/>
      <c r="F21" s="15"/>
      <c r="G21" s="16"/>
      <c r="H21" s="17" t="str">
        <f aca="false">IF(B21="","",IF(G21&lt;&gt;"",G21,IFERROR(INDEX('Bảng đơn giá'!$E$5:$E$80,MATCH(B21,'Bảng đơn giá'!$C$5:$C$80,0)),0)))</f>
        <v/>
      </c>
      <c r="I21" s="17" t="str">
        <f aca="false">IF(B21="","",E21*IF(F21="",1,F21)*H21)</f>
        <v/>
      </c>
    </row>
    <row r="22" customFormat="false" ht="15" hidden="false" customHeight="false" outlineLevel="0" collapsed="false">
      <c r="A22" s="13" t="str">
        <f aca="false">IF(B22="","",COUNTA($B$18:B22))</f>
        <v/>
      </c>
      <c r="B22" s="14"/>
      <c r="C22" s="14"/>
      <c r="D22" s="13" t="str">
        <f aca="false">IF(B22="","",IFERROR(INDEX('Bảng đơn giá'!$D$5:$D$80,MATCH(B22,'Bảng đơn giá'!$C$5:$C$80,0)),""))</f>
        <v/>
      </c>
      <c r="E22" s="15"/>
      <c r="F22" s="15"/>
      <c r="G22" s="16"/>
      <c r="H22" s="17" t="str">
        <f aca="false">IF(B22="","",IF(G22&lt;&gt;"",G22,IFERROR(INDEX('Bảng đơn giá'!$E$5:$E$80,MATCH(B22,'Bảng đơn giá'!$C$5:$C$80,0)),0)))</f>
        <v/>
      </c>
      <c r="I22" s="17" t="str">
        <f aca="false">IF(B22="","",E22*IF(F22="",1,F22)*H22)</f>
        <v/>
      </c>
    </row>
    <row r="23" customFormat="false" ht="15" hidden="false" customHeight="false" outlineLevel="0" collapsed="false">
      <c r="A23" s="13" t="str">
        <f aca="false">IF(B23="","",COUNTA($B$18:B23))</f>
        <v/>
      </c>
      <c r="B23" s="14"/>
      <c r="C23" s="14"/>
      <c r="D23" s="13" t="str">
        <f aca="false">IF(B23="","",IFERROR(INDEX('Bảng đơn giá'!$D$5:$D$80,MATCH(B23,'Bảng đơn giá'!$C$5:$C$80,0)),""))</f>
        <v/>
      </c>
      <c r="E23" s="15"/>
      <c r="F23" s="15"/>
      <c r="G23" s="16"/>
      <c r="H23" s="17" t="str">
        <f aca="false">IF(B23="","",IF(G23&lt;&gt;"",G23,IFERROR(INDEX('Bảng đơn giá'!$E$5:$E$80,MATCH(B23,'Bảng đơn giá'!$C$5:$C$80,0)),0)))</f>
        <v/>
      </c>
      <c r="I23" s="17" t="str">
        <f aca="false">IF(B23="","",E23*IF(F23="",1,F23)*H23)</f>
        <v/>
      </c>
    </row>
    <row r="24" customFormat="false" ht="15" hidden="false" customHeight="false" outlineLevel="0" collapsed="false">
      <c r="A24" s="13" t="str">
        <f aca="false">IF(B24="","",COUNTA($B$18:B24))</f>
        <v/>
      </c>
      <c r="B24" s="14"/>
      <c r="C24" s="14"/>
      <c r="D24" s="13" t="str">
        <f aca="false">IF(B24="","",IFERROR(INDEX('Bảng đơn giá'!$D$5:$D$80,MATCH(B24,'Bảng đơn giá'!$C$5:$C$80,0)),""))</f>
        <v/>
      </c>
      <c r="E24" s="15"/>
      <c r="F24" s="15"/>
      <c r="G24" s="16"/>
      <c r="H24" s="17" t="str">
        <f aca="false">IF(B24="","",IF(G24&lt;&gt;"",G24,IFERROR(INDEX('Bảng đơn giá'!$E$5:$E$80,MATCH(B24,'Bảng đơn giá'!$C$5:$C$80,0)),0)))</f>
        <v/>
      </c>
      <c r="I24" s="17" t="str">
        <f aca="false">IF(B24="","",E24*IF(F24="",1,F24)*H24)</f>
        <v/>
      </c>
    </row>
    <row r="25" customFormat="false" ht="15" hidden="false" customHeight="false" outlineLevel="0" collapsed="false">
      <c r="A25" s="13" t="str">
        <f aca="false">IF(B25="","",COUNTA($B$18:B25))</f>
        <v/>
      </c>
      <c r="B25" s="14"/>
      <c r="C25" s="14"/>
      <c r="D25" s="13" t="str">
        <f aca="false">IF(B25="","",IFERROR(INDEX('Bảng đơn giá'!$D$5:$D$80,MATCH(B25,'Bảng đơn giá'!$C$5:$C$80,0)),""))</f>
        <v/>
      </c>
      <c r="E25" s="15"/>
      <c r="F25" s="15"/>
      <c r="G25" s="16"/>
      <c r="H25" s="17" t="str">
        <f aca="false">IF(B25="","",IF(G25&lt;&gt;"",G25,IFERROR(INDEX('Bảng đơn giá'!$E$5:$E$80,MATCH(B25,'Bảng đơn giá'!$C$5:$C$80,0)),0)))</f>
        <v/>
      </c>
      <c r="I25" s="17" t="str">
        <f aca="false">IF(B25="","",E25*IF(F25="",1,F25)*H25)</f>
        <v/>
      </c>
    </row>
    <row r="26" customFormat="false" ht="15" hidden="false" customHeight="false" outlineLevel="0" collapsed="false">
      <c r="A26" s="13" t="str">
        <f aca="false">IF(B26="","",COUNTA($B$18:B26))</f>
        <v/>
      </c>
      <c r="B26" s="14"/>
      <c r="C26" s="14"/>
      <c r="D26" s="13" t="str">
        <f aca="false">IF(B26="","",IFERROR(INDEX('Bảng đơn giá'!$D$5:$D$80,MATCH(B26,'Bảng đơn giá'!$C$5:$C$80,0)),""))</f>
        <v/>
      </c>
      <c r="E26" s="15"/>
      <c r="F26" s="15"/>
      <c r="G26" s="16"/>
      <c r="H26" s="17" t="str">
        <f aca="false">IF(B26="","",IF(G26&lt;&gt;"",G26,IFERROR(INDEX('Bảng đơn giá'!$E$5:$E$80,MATCH(B26,'Bảng đơn giá'!$C$5:$C$80,0)),0)))</f>
        <v/>
      </c>
      <c r="I26" s="17" t="str">
        <f aca="false">IF(B26="","",E26*IF(F26="",1,F26)*H26)</f>
        <v/>
      </c>
    </row>
    <row r="27" customFormat="false" ht="15" hidden="false" customHeight="false" outlineLevel="0" collapsed="false">
      <c r="A27" s="13" t="str">
        <f aca="false">IF(B27="","",COUNTA($B$18:B27))</f>
        <v/>
      </c>
      <c r="B27" s="14"/>
      <c r="C27" s="14"/>
      <c r="D27" s="13" t="str">
        <f aca="false">IF(B27="","",IFERROR(INDEX('Bảng đơn giá'!$D$5:$D$80,MATCH(B27,'Bảng đơn giá'!$C$5:$C$80,0)),""))</f>
        <v/>
      </c>
      <c r="E27" s="15"/>
      <c r="F27" s="15"/>
      <c r="G27" s="16"/>
      <c r="H27" s="17" t="str">
        <f aca="false">IF(B27="","",IF(G27&lt;&gt;"",G27,IFERROR(INDEX('Bảng đơn giá'!$E$5:$E$80,MATCH(B27,'Bảng đơn giá'!$C$5:$C$80,0)),0)))</f>
        <v/>
      </c>
      <c r="I27" s="17" t="str">
        <f aca="false">IF(B27="","",E27*IF(F27="",1,F27)*H27)</f>
        <v/>
      </c>
    </row>
    <row r="28" customFormat="false" ht="15" hidden="false" customHeight="false" outlineLevel="0" collapsed="false">
      <c r="A28" s="13" t="str">
        <f aca="false">IF(B28="","",COUNTA($B$18:B28))</f>
        <v/>
      </c>
      <c r="B28" s="14"/>
      <c r="C28" s="14"/>
      <c r="D28" s="13" t="str">
        <f aca="false">IF(B28="","",IFERROR(INDEX('Bảng đơn giá'!$D$5:$D$80,MATCH(B28,'Bảng đơn giá'!$C$5:$C$80,0)),""))</f>
        <v/>
      </c>
      <c r="E28" s="15"/>
      <c r="F28" s="15"/>
      <c r="G28" s="16"/>
      <c r="H28" s="17" t="str">
        <f aca="false">IF(B28="","",IF(G28&lt;&gt;"",G28,IFERROR(INDEX('Bảng đơn giá'!$E$5:$E$80,MATCH(B28,'Bảng đơn giá'!$C$5:$C$80,0)),0)))</f>
        <v/>
      </c>
      <c r="I28" s="17" t="str">
        <f aca="false">IF(B28="","",E28*IF(F28="",1,F28)*H28)</f>
        <v/>
      </c>
    </row>
    <row r="29" customFormat="false" ht="15" hidden="false" customHeight="false" outlineLevel="0" collapsed="false">
      <c r="A29" s="13" t="str">
        <f aca="false">IF(B29="","",COUNTA($B$18:B29))</f>
        <v/>
      </c>
      <c r="B29" s="14"/>
      <c r="C29" s="14"/>
      <c r="D29" s="13" t="str">
        <f aca="false">IF(B29="","",IFERROR(INDEX('Bảng đơn giá'!$D$5:$D$80,MATCH(B29,'Bảng đơn giá'!$C$5:$C$80,0)),""))</f>
        <v/>
      </c>
      <c r="E29" s="15"/>
      <c r="F29" s="15"/>
      <c r="G29" s="16"/>
      <c r="H29" s="17" t="str">
        <f aca="false">IF(B29="","",IF(G29&lt;&gt;"",G29,IFERROR(INDEX('Bảng đơn giá'!$E$5:$E$80,MATCH(B29,'Bảng đơn giá'!$C$5:$C$80,0)),0)))</f>
        <v/>
      </c>
      <c r="I29" s="17" t="str">
        <f aca="false">IF(B29="","",E29*IF(F29="",1,F29)*H29)</f>
        <v/>
      </c>
    </row>
    <row r="30" customFormat="false" ht="15" hidden="false" customHeight="false" outlineLevel="0" collapsed="false">
      <c r="A30" s="13" t="str">
        <f aca="false">IF(B30="","",COUNTA($B$18:B30))</f>
        <v/>
      </c>
      <c r="B30" s="14"/>
      <c r="C30" s="14"/>
      <c r="D30" s="13" t="str">
        <f aca="false">IF(B30="","",IFERROR(INDEX('Bảng đơn giá'!$D$5:$D$80,MATCH(B30,'Bảng đơn giá'!$C$5:$C$80,0)),""))</f>
        <v/>
      </c>
      <c r="E30" s="15"/>
      <c r="F30" s="15"/>
      <c r="G30" s="16"/>
      <c r="H30" s="17" t="str">
        <f aca="false">IF(B30="","",IF(G30&lt;&gt;"",G30,IFERROR(INDEX('Bảng đơn giá'!$E$5:$E$80,MATCH(B30,'Bảng đơn giá'!$C$5:$C$80,0)),0)))</f>
        <v/>
      </c>
      <c r="I30" s="17" t="str">
        <f aca="false">IF(B30="","",E30*IF(F30="",1,F30)*H30)</f>
        <v/>
      </c>
    </row>
    <row r="31" customFormat="false" ht="15" hidden="false" customHeight="false" outlineLevel="0" collapsed="false">
      <c r="A31" s="13" t="str">
        <f aca="false">IF(B31="","",COUNTA($B$18:B31))</f>
        <v/>
      </c>
      <c r="B31" s="14"/>
      <c r="C31" s="14"/>
      <c r="D31" s="13" t="str">
        <f aca="false">IF(B31="","",IFERROR(INDEX('Bảng đơn giá'!$D$5:$D$80,MATCH(B31,'Bảng đơn giá'!$C$5:$C$80,0)),""))</f>
        <v/>
      </c>
      <c r="E31" s="15"/>
      <c r="F31" s="15"/>
      <c r="G31" s="16"/>
      <c r="H31" s="17" t="str">
        <f aca="false">IF(B31="","",IF(G31&lt;&gt;"",G31,IFERROR(INDEX('Bảng đơn giá'!$E$5:$E$80,MATCH(B31,'Bảng đơn giá'!$C$5:$C$80,0)),0)))</f>
        <v/>
      </c>
      <c r="I31" s="17" t="str">
        <f aca="false">IF(B31="","",E31*IF(F31="",1,F31)*H31)</f>
        <v/>
      </c>
    </row>
    <row r="32" customFormat="false" ht="15" hidden="false" customHeight="false" outlineLevel="0" collapsed="false">
      <c r="A32" s="13" t="str">
        <f aca="false">IF(B32="","",COUNTA($B$18:B32))</f>
        <v/>
      </c>
      <c r="B32" s="14"/>
      <c r="C32" s="14"/>
      <c r="D32" s="13" t="str">
        <f aca="false">IF(B32="","",IFERROR(INDEX('Bảng đơn giá'!$D$5:$D$80,MATCH(B32,'Bảng đơn giá'!$C$5:$C$80,0)),""))</f>
        <v/>
      </c>
      <c r="E32" s="15"/>
      <c r="F32" s="15"/>
      <c r="G32" s="16"/>
      <c r="H32" s="17" t="str">
        <f aca="false">IF(B32="","",IF(G32&lt;&gt;"",G32,IFERROR(INDEX('Bảng đơn giá'!$E$5:$E$80,MATCH(B32,'Bảng đơn giá'!$C$5:$C$80,0)),0)))</f>
        <v/>
      </c>
      <c r="I32" s="17" t="str">
        <f aca="false">IF(B32="","",E32*IF(F32="",1,F32)*H32)</f>
        <v/>
      </c>
    </row>
    <row r="33" customFormat="false" ht="15" hidden="false" customHeight="false" outlineLevel="0" collapsed="false">
      <c r="A33" s="13" t="str">
        <f aca="false">IF(B33="","",COUNTA($B$18:B33))</f>
        <v/>
      </c>
      <c r="B33" s="14"/>
      <c r="C33" s="14"/>
      <c r="D33" s="13" t="str">
        <f aca="false">IF(B33="","",IFERROR(INDEX('Bảng đơn giá'!$D$5:$D$80,MATCH(B33,'Bảng đơn giá'!$C$5:$C$80,0)),""))</f>
        <v/>
      </c>
      <c r="E33" s="15"/>
      <c r="F33" s="15"/>
      <c r="G33" s="16"/>
      <c r="H33" s="17" t="str">
        <f aca="false">IF(B33="","",IF(G33&lt;&gt;"",G33,IFERROR(INDEX('Bảng đơn giá'!$E$5:$E$80,MATCH(B33,'Bảng đơn giá'!$C$5:$C$80,0)),0)))</f>
        <v/>
      </c>
      <c r="I33" s="17" t="str">
        <f aca="false">IF(B33="","",E33*IF(F33="",1,F33)*H33)</f>
        <v/>
      </c>
    </row>
    <row r="34" customFormat="false" ht="15" hidden="false" customHeight="false" outlineLevel="0" collapsed="false">
      <c r="A34" s="13" t="str">
        <f aca="false">IF(B34="","",COUNTA($B$18:B34))</f>
        <v/>
      </c>
      <c r="B34" s="14"/>
      <c r="C34" s="14"/>
      <c r="D34" s="13" t="str">
        <f aca="false">IF(B34="","",IFERROR(INDEX('Bảng đơn giá'!$D$5:$D$80,MATCH(B34,'Bảng đơn giá'!$C$5:$C$80,0)),""))</f>
        <v/>
      </c>
      <c r="E34" s="15"/>
      <c r="F34" s="15"/>
      <c r="G34" s="16"/>
      <c r="H34" s="17" t="str">
        <f aca="false">IF(B34="","",IF(G34&lt;&gt;"",G34,IFERROR(INDEX('Bảng đơn giá'!$E$5:$E$80,MATCH(B34,'Bảng đơn giá'!$C$5:$C$80,0)),0)))</f>
        <v/>
      </c>
      <c r="I34" s="17" t="str">
        <f aca="false">IF(B34="","",E34*IF(F34="",1,F34)*H34)</f>
        <v/>
      </c>
    </row>
    <row r="35" customFormat="false" ht="15" hidden="false" customHeight="false" outlineLevel="0" collapsed="false">
      <c r="A35" s="13" t="str">
        <f aca="false">IF(B35="","",COUNTA($B$18:B35))</f>
        <v/>
      </c>
      <c r="B35" s="14"/>
      <c r="C35" s="14"/>
      <c r="D35" s="13" t="str">
        <f aca="false">IF(B35="","",IFERROR(INDEX('Bảng đơn giá'!$D$5:$D$80,MATCH(B35,'Bảng đơn giá'!$C$5:$C$80,0)),""))</f>
        <v/>
      </c>
      <c r="E35" s="15"/>
      <c r="F35" s="15"/>
      <c r="G35" s="16"/>
      <c r="H35" s="17" t="str">
        <f aca="false">IF(B35="","",IF(G35&lt;&gt;"",G35,IFERROR(INDEX('Bảng đơn giá'!$E$5:$E$80,MATCH(B35,'Bảng đơn giá'!$C$5:$C$80,0)),0)))</f>
        <v/>
      </c>
      <c r="I35" s="17" t="str">
        <f aca="false">IF(B35="","",E35*IF(F35="",1,F35)*H35)</f>
        <v/>
      </c>
    </row>
    <row r="36" customFormat="false" ht="15" hidden="false" customHeight="false" outlineLevel="0" collapsed="false">
      <c r="A36" s="13" t="str">
        <f aca="false">IF(B36="","",COUNTA($B$18:B36))</f>
        <v/>
      </c>
      <c r="B36" s="14"/>
      <c r="C36" s="14"/>
      <c r="D36" s="13" t="str">
        <f aca="false">IF(B36="","",IFERROR(INDEX('Bảng đơn giá'!$D$5:$D$80,MATCH(B36,'Bảng đơn giá'!$C$5:$C$80,0)),""))</f>
        <v/>
      </c>
      <c r="E36" s="15"/>
      <c r="F36" s="15"/>
      <c r="G36" s="16"/>
      <c r="H36" s="17" t="str">
        <f aca="false">IF(B36="","",IF(G36&lt;&gt;"",G36,IFERROR(INDEX('Bảng đơn giá'!$E$5:$E$80,MATCH(B36,'Bảng đơn giá'!$C$5:$C$80,0)),0)))</f>
        <v/>
      </c>
      <c r="I36" s="17" t="str">
        <f aca="false">IF(B36="","",E36*IF(F36="",1,F36)*H36)</f>
        <v/>
      </c>
    </row>
    <row r="37" customFormat="false" ht="15" hidden="false" customHeight="false" outlineLevel="0" collapsed="false">
      <c r="A37" s="13" t="str">
        <f aca="false">IF(B37="","",COUNTA($B$18:B37))</f>
        <v/>
      </c>
      <c r="B37" s="14"/>
      <c r="C37" s="14"/>
      <c r="D37" s="13" t="str">
        <f aca="false">IF(B37="","",IFERROR(INDEX('Bảng đơn giá'!$D$5:$D$80,MATCH(B37,'Bảng đơn giá'!$C$5:$C$80,0)),""))</f>
        <v/>
      </c>
      <c r="E37" s="15"/>
      <c r="F37" s="15"/>
      <c r="G37" s="16"/>
      <c r="H37" s="17" t="str">
        <f aca="false">IF(B37="","",IF(G37&lt;&gt;"",G37,IFERROR(INDEX('Bảng đơn giá'!$E$5:$E$80,MATCH(B37,'Bảng đơn giá'!$C$5:$C$80,0)),0)))</f>
        <v/>
      </c>
      <c r="I37" s="17" t="str">
        <f aca="false">IF(B37="","",E37*IF(F37="",1,F37)*H37)</f>
        <v/>
      </c>
    </row>
    <row r="39" customFormat="false" ht="15" hidden="false" customHeight="false" outlineLevel="0" collapsed="false">
      <c r="B39" s="18" t="s">
        <v>29</v>
      </c>
      <c r="C39" s="19" t="n">
        <v>0</v>
      </c>
      <c r="F39" s="20" t="s">
        <v>30</v>
      </c>
      <c r="G39" s="20"/>
      <c r="H39" s="20"/>
      <c r="I39" s="21" t="n">
        <f aca="false">SUM(I18:I37)</f>
        <v>0</v>
      </c>
    </row>
    <row r="40" customFormat="false" ht="15" hidden="false" customHeight="false" outlineLevel="0" collapsed="false">
      <c r="B40" s="18" t="s">
        <v>31</v>
      </c>
      <c r="C40" s="22" t="n">
        <v>0</v>
      </c>
      <c r="F40" s="20" t="s">
        <v>32</v>
      </c>
      <c r="G40" s="20"/>
      <c r="H40" s="20"/>
      <c r="I40" s="21" t="n">
        <f aca="false">ROUND(I39*C39,0)</f>
        <v>0</v>
      </c>
    </row>
    <row r="41" customFormat="false" ht="15" hidden="false" customHeight="false" outlineLevel="0" collapsed="false">
      <c r="B41" s="18" t="s">
        <v>33</v>
      </c>
      <c r="C41" s="23"/>
      <c r="F41" s="20" t="s">
        <v>34</v>
      </c>
      <c r="G41" s="20"/>
      <c r="H41" s="20"/>
      <c r="I41" s="21" t="n">
        <f aca="false">-C40</f>
        <v>-0</v>
      </c>
    </row>
    <row r="42" customFormat="false" ht="15" hidden="false" customHeight="false" outlineLevel="0" collapsed="false">
      <c r="B42" s="18" t="s">
        <v>35</v>
      </c>
      <c r="C42" s="23"/>
      <c r="F42" s="24" t="s">
        <v>36</v>
      </c>
      <c r="G42" s="24"/>
      <c r="H42" s="24"/>
      <c r="I42" s="25" t="n">
        <f aca="false">I39+I40+I41</f>
        <v>0</v>
      </c>
    </row>
    <row r="43" customFormat="false" ht="15" hidden="false" customHeight="false" outlineLevel="0" collapsed="false">
      <c r="F43" s="20" t="s">
        <v>37</v>
      </c>
      <c r="G43" s="20"/>
      <c r="H43" s="20"/>
      <c r="I43" s="21" t="n">
        <f aca="false">ROUND(I42*N(C41),0)</f>
        <v>0</v>
      </c>
    </row>
    <row r="44" customFormat="false" ht="15" hidden="false" customHeight="false" outlineLevel="0" collapsed="false">
      <c r="F44" s="24" t="s">
        <v>38</v>
      </c>
      <c r="G44" s="24"/>
      <c r="H44" s="24"/>
      <c r="I44" s="26" t="n">
        <f aca="false">I42+I43</f>
        <v>0</v>
      </c>
    </row>
    <row r="45" customFormat="false" ht="15" hidden="false" customHeight="false" outlineLevel="0" collapsed="false">
      <c r="F45" s="20" t="s">
        <v>39</v>
      </c>
      <c r="G45" s="20"/>
      <c r="H45" s="20"/>
      <c r="I45" s="21" t="str">
        <f aca="false">IF(N($H$13)=0,"",ROUND(I44/$H$13,0))</f>
        <v/>
      </c>
    </row>
    <row r="46" customFormat="false" ht="15" hidden="false" customHeight="false" outlineLevel="0" collapsed="false">
      <c r="F46" s="20" t="s">
        <v>40</v>
      </c>
      <c r="G46" s="20"/>
      <c r="H46" s="20"/>
      <c r="I46" s="21" t="n">
        <f aca="false">ROUND(I44*N(C42),0)</f>
        <v>0</v>
      </c>
    </row>
    <row r="47" customFormat="false" ht="15" hidden="false" customHeight="false" outlineLevel="0" collapsed="false">
      <c r="F47" s="20" t="s">
        <v>41</v>
      </c>
      <c r="G47" s="20"/>
      <c r="H47" s="20"/>
      <c r="I47" s="21" t="n">
        <f aca="false">I44-I46</f>
        <v>0</v>
      </c>
    </row>
    <row r="49" customFormat="false" ht="15" hidden="false" customHeight="false" outlineLevel="0" collapsed="false">
      <c r="A49" s="10" t="s">
        <v>42</v>
      </c>
      <c r="B49" s="10"/>
      <c r="C49" s="10"/>
      <c r="D49" s="10"/>
      <c r="E49" s="10"/>
      <c r="F49" s="10"/>
      <c r="G49" s="10"/>
      <c r="H49" s="10"/>
      <c r="I49" s="10"/>
    </row>
    <row r="50" customFormat="false" ht="30" hidden="false" customHeight="true" outlineLevel="0" collapsed="false">
      <c r="A50" s="27" t="s">
        <v>43</v>
      </c>
      <c r="B50" s="27"/>
      <c r="C50" s="28" t="s">
        <v>44</v>
      </c>
      <c r="D50" s="28"/>
      <c r="E50" s="28"/>
      <c r="F50" s="28"/>
      <c r="G50" s="28"/>
      <c r="H50" s="28"/>
      <c r="I50" s="28"/>
    </row>
    <row r="51" customFormat="false" ht="30" hidden="false" customHeight="true" outlineLevel="0" collapsed="false">
      <c r="A51" s="27" t="s">
        <v>45</v>
      </c>
      <c r="B51" s="27"/>
      <c r="C51" s="28" t="s">
        <v>46</v>
      </c>
      <c r="D51" s="28"/>
      <c r="E51" s="28"/>
      <c r="F51" s="28"/>
      <c r="G51" s="28"/>
      <c r="H51" s="28"/>
      <c r="I51" s="28"/>
    </row>
    <row r="52" customFormat="false" ht="30" hidden="false" customHeight="true" outlineLevel="0" collapsed="false">
      <c r="A52" s="27" t="s">
        <v>47</v>
      </c>
      <c r="B52" s="27"/>
      <c r="C52" s="28" t="s">
        <v>48</v>
      </c>
      <c r="D52" s="28"/>
      <c r="E52" s="28"/>
      <c r="F52" s="28"/>
      <c r="G52" s="28"/>
      <c r="H52" s="28"/>
      <c r="I52" s="28"/>
    </row>
    <row r="53" customFormat="false" ht="30" hidden="false" customHeight="true" outlineLevel="0" collapsed="false">
      <c r="A53" s="27" t="s">
        <v>49</v>
      </c>
      <c r="B53" s="27"/>
      <c r="C53" s="28" t="s">
        <v>50</v>
      </c>
      <c r="D53" s="28"/>
      <c r="E53" s="28"/>
      <c r="F53" s="28"/>
      <c r="G53" s="28"/>
      <c r="H53" s="28"/>
      <c r="I53" s="28"/>
    </row>
    <row r="55" customFormat="false" ht="15" hidden="false" customHeight="false" outlineLevel="0" collapsed="false">
      <c r="A55" s="29" t="s">
        <v>51</v>
      </c>
      <c r="B55" s="29"/>
      <c r="C55" s="29"/>
      <c r="D55" s="29"/>
      <c r="F55" s="29" t="s">
        <v>52</v>
      </c>
      <c r="G55" s="29"/>
      <c r="H55" s="29"/>
      <c r="I55" s="29"/>
    </row>
    <row r="56" customFormat="false" ht="15" hidden="false" customHeight="false" outlineLevel="0" collapsed="false">
      <c r="A56" s="30" t="s">
        <v>53</v>
      </c>
      <c r="B56" s="30"/>
      <c r="C56" s="30"/>
      <c r="D56" s="30"/>
      <c r="F56" s="30" t="s">
        <v>54</v>
      </c>
      <c r="G56" s="30"/>
      <c r="H56" s="30"/>
      <c r="I56" s="30"/>
    </row>
  </sheetData>
  <mergeCells count="54">
    <mergeCell ref="D1:I1"/>
    <mergeCell ref="D2:I2"/>
    <mergeCell ref="D3:I3"/>
    <mergeCell ref="A5:I5"/>
    <mergeCell ref="A7:B7"/>
    <mergeCell ref="C7:D7"/>
    <mergeCell ref="F7:G7"/>
    <mergeCell ref="H7:I7"/>
    <mergeCell ref="A8:B8"/>
    <mergeCell ref="F8:G8"/>
    <mergeCell ref="H8:I8"/>
    <mergeCell ref="A10:I10"/>
    <mergeCell ref="A11:B11"/>
    <mergeCell ref="C11:E11"/>
    <mergeCell ref="F11:G11"/>
    <mergeCell ref="H11:I11"/>
    <mergeCell ref="A12:B12"/>
    <mergeCell ref="C12:E12"/>
    <mergeCell ref="F12:G12"/>
    <mergeCell ref="H12:I12"/>
    <mergeCell ref="A13:B13"/>
    <mergeCell ref="C13:E13"/>
    <mergeCell ref="F13:G13"/>
    <mergeCell ref="H13:I13"/>
    <mergeCell ref="A14:B14"/>
    <mergeCell ref="C14:E14"/>
    <mergeCell ref="F14:G14"/>
    <mergeCell ref="H14:I14"/>
    <mergeCell ref="A15:B15"/>
    <mergeCell ref="C15:E15"/>
    <mergeCell ref="F15:G15"/>
    <mergeCell ref="H15:I15"/>
    <mergeCell ref="F39:H39"/>
    <mergeCell ref="F40:H40"/>
    <mergeCell ref="F41:H41"/>
    <mergeCell ref="F42:H42"/>
    <mergeCell ref="F43:H43"/>
    <mergeCell ref="F44:H44"/>
    <mergeCell ref="F45:H45"/>
    <mergeCell ref="F46:H46"/>
    <mergeCell ref="F47:H47"/>
    <mergeCell ref="A49:I49"/>
    <mergeCell ref="A50:B50"/>
    <mergeCell ref="C50:I50"/>
    <mergeCell ref="A51:B51"/>
    <mergeCell ref="C51:I51"/>
    <mergeCell ref="A52:B52"/>
    <mergeCell ref="C52:I52"/>
    <mergeCell ref="A53:B53"/>
    <mergeCell ref="C53:I53"/>
    <mergeCell ref="A55:D55"/>
    <mergeCell ref="F55:I55"/>
    <mergeCell ref="A56:D56"/>
    <mergeCell ref="F56:I56"/>
  </mergeCells>
  <conditionalFormatting sqref="H18:H37">
    <cfRule type="expression" priority="2" aboveAverage="0" equalAverage="0" bottom="0" percent="0" rank="0" text="" dxfId="0">
      <formula>AND($B18&lt;&gt;"",H18=0)</formula>
    </cfRule>
  </conditionalFormatting>
  <conditionalFormatting sqref="C41">
    <cfRule type="expression" priority="3" aboveAverage="0" equalAverage="0" bottom="0" percent="0" rank="0" text="" dxfId="0">
      <formula>ISBLANK(C41)</formula>
    </cfRule>
  </conditionalFormatting>
  <dataValidations count="2">
    <dataValidation allowBlank="true" errorStyle="stop" operator="between" showDropDown="false" showErrorMessage="false" showInputMessage="false" sqref="B18:B37" type="list">
      <formula1>'Bảng đơn giá'!$C$5:$C$80</formula1>
      <formula2>0</formula2>
    </dataValidation>
    <dataValidation allowBlank="true" errorStyle="stop" operator="between" showDropDown="false" showErrorMessage="false" showInputMessage="false" sqref="C41" type="list">
      <formula1>"0%,8%,10%"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31" t="s">
        <v>55</v>
      </c>
    </row>
    <row r="2" customFormat="false" ht="15" hidden="false" customHeight="false" outlineLevel="0" collapsed="false">
      <c r="A2" s="32" t="s">
        <v>56</v>
      </c>
    </row>
    <row r="4" customFormat="false" ht="26.85" hidden="false" customHeight="false" outlineLevel="0" collapsed="false">
      <c r="A4" s="33" t="s">
        <v>57</v>
      </c>
      <c r="B4" s="33" t="s">
        <v>58</v>
      </c>
      <c r="C4" s="33" t="s">
        <v>59</v>
      </c>
      <c r="D4" s="33" t="s">
        <v>23</v>
      </c>
      <c r="E4" s="33" t="s">
        <v>60</v>
      </c>
      <c r="F4" s="33" t="s">
        <v>61</v>
      </c>
    </row>
    <row r="5" customFormat="false" ht="15" hidden="false" customHeight="false" outlineLevel="0" collapsed="false">
      <c r="A5" s="34" t="s">
        <v>62</v>
      </c>
      <c r="B5" s="34" t="s">
        <v>63</v>
      </c>
      <c r="C5" s="34" t="s">
        <v>64</v>
      </c>
      <c r="D5" s="34" t="s">
        <v>65</v>
      </c>
      <c r="E5" s="35"/>
      <c r="F5" s="36"/>
    </row>
    <row r="6" customFormat="false" ht="15" hidden="false" customHeight="false" outlineLevel="0" collapsed="false">
      <c r="A6" s="34" t="s">
        <v>66</v>
      </c>
      <c r="B6" s="34" t="s">
        <v>63</v>
      </c>
      <c r="C6" s="34" t="s">
        <v>67</v>
      </c>
      <c r="D6" s="34" t="s">
        <v>65</v>
      </c>
      <c r="E6" s="35"/>
      <c r="F6" s="36"/>
    </row>
    <row r="7" customFormat="false" ht="15" hidden="false" customHeight="false" outlineLevel="0" collapsed="false">
      <c r="A7" s="34" t="s">
        <v>68</v>
      </c>
      <c r="B7" s="34" t="s">
        <v>63</v>
      </c>
      <c r="C7" s="34" t="s">
        <v>69</v>
      </c>
      <c r="D7" s="34" t="s">
        <v>65</v>
      </c>
      <c r="E7" s="35"/>
      <c r="F7" s="36"/>
    </row>
    <row r="8" customFormat="false" ht="15" hidden="false" customHeight="false" outlineLevel="0" collapsed="false">
      <c r="A8" s="34" t="s">
        <v>70</v>
      </c>
      <c r="B8" s="34" t="s">
        <v>63</v>
      </c>
      <c r="C8" s="34" t="s">
        <v>71</v>
      </c>
      <c r="D8" s="34" t="s">
        <v>65</v>
      </c>
      <c r="E8" s="35"/>
      <c r="F8" s="36"/>
    </row>
    <row r="9" customFormat="false" ht="15" hidden="false" customHeight="false" outlineLevel="0" collapsed="false">
      <c r="A9" s="34" t="s">
        <v>72</v>
      </c>
      <c r="B9" s="34" t="s">
        <v>63</v>
      </c>
      <c r="C9" s="34" t="s">
        <v>73</v>
      </c>
      <c r="D9" s="34" t="s">
        <v>74</v>
      </c>
      <c r="E9" s="35"/>
      <c r="F9" s="36"/>
    </row>
    <row r="10" customFormat="false" ht="15" hidden="false" customHeight="false" outlineLevel="0" collapsed="false">
      <c r="A10" s="34" t="s">
        <v>75</v>
      </c>
      <c r="B10" s="34" t="s">
        <v>63</v>
      </c>
      <c r="C10" s="34" t="s">
        <v>76</v>
      </c>
      <c r="D10" s="34" t="s">
        <v>74</v>
      </c>
      <c r="E10" s="35"/>
      <c r="F10" s="36"/>
    </row>
    <row r="11" customFormat="false" ht="15" hidden="false" customHeight="false" outlineLevel="0" collapsed="false">
      <c r="A11" s="34" t="s">
        <v>77</v>
      </c>
      <c r="B11" s="34" t="s">
        <v>78</v>
      </c>
      <c r="C11" s="34" t="s">
        <v>79</v>
      </c>
      <c r="D11" s="34" t="s">
        <v>80</v>
      </c>
      <c r="E11" s="35"/>
      <c r="F11" s="36"/>
    </row>
    <row r="12" customFormat="false" ht="15" hidden="false" customHeight="false" outlineLevel="0" collapsed="false">
      <c r="A12" s="34" t="s">
        <v>81</v>
      </c>
      <c r="B12" s="34" t="s">
        <v>78</v>
      </c>
      <c r="C12" s="34" t="s">
        <v>82</v>
      </c>
      <c r="D12" s="34" t="s">
        <v>80</v>
      </c>
      <c r="E12" s="35"/>
      <c r="F12" s="36"/>
    </row>
    <row r="13" customFormat="false" ht="15" hidden="false" customHeight="false" outlineLevel="0" collapsed="false">
      <c r="A13" s="34" t="s">
        <v>83</v>
      </c>
      <c r="B13" s="34" t="s">
        <v>78</v>
      </c>
      <c r="C13" s="34" t="s">
        <v>84</v>
      </c>
      <c r="D13" s="34" t="s">
        <v>80</v>
      </c>
      <c r="E13" s="35"/>
      <c r="F13" s="36"/>
    </row>
    <row r="14" customFormat="false" ht="15" hidden="false" customHeight="false" outlineLevel="0" collapsed="false">
      <c r="A14" s="34" t="s">
        <v>85</v>
      </c>
      <c r="B14" s="34" t="s">
        <v>78</v>
      </c>
      <c r="C14" s="34" t="s">
        <v>86</v>
      </c>
      <c r="D14" s="34" t="s">
        <v>80</v>
      </c>
      <c r="E14" s="35"/>
      <c r="F14" s="36"/>
    </row>
    <row r="15" customFormat="false" ht="15" hidden="false" customHeight="false" outlineLevel="0" collapsed="false">
      <c r="A15" s="34" t="s">
        <v>87</v>
      </c>
      <c r="B15" s="34" t="s">
        <v>88</v>
      </c>
      <c r="C15" s="34" t="s">
        <v>89</v>
      </c>
      <c r="D15" s="34" t="s">
        <v>90</v>
      </c>
      <c r="E15" s="35"/>
      <c r="F15" s="36"/>
    </row>
    <row r="16" customFormat="false" ht="15" hidden="false" customHeight="false" outlineLevel="0" collapsed="false">
      <c r="A16" s="34" t="s">
        <v>91</v>
      </c>
      <c r="B16" s="34" t="s">
        <v>88</v>
      </c>
      <c r="C16" s="34" t="s">
        <v>92</v>
      </c>
      <c r="D16" s="34" t="s">
        <v>90</v>
      </c>
      <c r="E16" s="35"/>
      <c r="F16" s="36"/>
    </row>
    <row r="17" customFormat="false" ht="15" hidden="false" customHeight="false" outlineLevel="0" collapsed="false">
      <c r="A17" s="34" t="s">
        <v>93</v>
      </c>
      <c r="B17" s="34" t="s">
        <v>88</v>
      </c>
      <c r="C17" s="34" t="s">
        <v>94</v>
      </c>
      <c r="D17" s="34" t="s">
        <v>74</v>
      </c>
      <c r="E17" s="35"/>
      <c r="F17" s="36"/>
    </row>
    <row r="18" customFormat="false" ht="15" hidden="false" customHeight="false" outlineLevel="0" collapsed="false">
      <c r="A18" s="34" t="s">
        <v>95</v>
      </c>
      <c r="B18" s="34" t="s">
        <v>96</v>
      </c>
      <c r="C18" s="34" t="s">
        <v>97</v>
      </c>
      <c r="D18" s="34" t="s">
        <v>74</v>
      </c>
      <c r="E18" s="35"/>
      <c r="F18" s="36"/>
    </row>
    <row r="19" customFormat="false" ht="15" hidden="false" customHeight="false" outlineLevel="0" collapsed="false">
      <c r="A19" s="34" t="s">
        <v>98</v>
      </c>
      <c r="B19" s="34" t="s">
        <v>99</v>
      </c>
      <c r="C19" s="34" t="s">
        <v>100</v>
      </c>
      <c r="D19" s="34" t="s">
        <v>101</v>
      </c>
      <c r="E19" s="35"/>
      <c r="F19" s="36"/>
    </row>
    <row r="20" customFormat="false" ht="15" hidden="false" customHeight="false" outlineLevel="0" collapsed="false">
      <c r="A20" s="34" t="s">
        <v>102</v>
      </c>
      <c r="B20" s="34" t="s">
        <v>99</v>
      </c>
      <c r="C20" s="34" t="s">
        <v>103</v>
      </c>
      <c r="D20" s="34" t="s">
        <v>101</v>
      </c>
      <c r="E20" s="35"/>
      <c r="F20" s="36"/>
    </row>
    <row r="21" customFormat="false" ht="15" hidden="false" customHeight="false" outlineLevel="0" collapsed="false">
      <c r="A21" s="34" t="s">
        <v>104</v>
      </c>
      <c r="B21" s="34" t="s">
        <v>99</v>
      </c>
      <c r="C21" s="34" t="s">
        <v>105</v>
      </c>
      <c r="D21" s="34" t="s">
        <v>106</v>
      </c>
      <c r="E21" s="35"/>
      <c r="F21" s="36"/>
    </row>
    <row r="22" customFormat="false" ht="15" hidden="false" customHeight="false" outlineLevel="0" collapsed="false">
      <c r="A22" s="34" t="s">
        <v>107</v>
      </c>
      <c r="B22" s="34" t="s">
        <v>99</v>
      </c>
      <c r="C22" s="34" t="s">
        <v>108</v>
      </c>
      <c r="D22" s="34" t="s">
        <v>109</v>
      </c>
      <c r="E22" s="35"/>
      <c r="F22" s="36"/>
    </row>
    <row r="23" customFormat="false" ht="15" hidden="false" customHeight="false" outlineLevel="0" collapsed="false">
      <c r="A23" s="34" t="s">
        <v>110</v>
      </c>
      <c r="B23" s="34" t="s">
        <v>111</v>
      </c>
      <c r="C23" s="34" t="s">
        <v>112</v>
      </c>
      <c r="D23" s="34" t="s">
        <v>101</v>
      </c>
      <c r="E23" s="35"/>
      <c r="F23" s="36"/>
    </row>
    <row r="24" customFormat="false" ht="15" hidden="false" customHeight="false" outlineLevel="0" collapsed="false">
      <c r="A24" s="34" t="s">
        <v>113</v>
      </c>
      <c r="B24" s="34" t="s">
        <v>111</v>
      </c>
      <c r="C24" s="34" t="s">
        <v>114</v>
      </c>
      <c r="D24" s="34" t="s">
        <v>101</v>
      </c>
      <c r="E24" s="35"/>
      <c r="F24" s="36"/>
    </row>
    <row r="25" customFormat="false" ht="15" hidden="false" customHeight="false" outlineLevel="0" collapsed="false">
      <c r="A25" s="34" t="s">
        <v>115</v>
      </c>
      <c r="B25" s="34" t="s">
        <v>111</v>
      </c>
      <c r="C25" s="34" t="s">
        <v>116</v>
      </c>
      <c r="D25" s="34" t="s">
        <v>117</v>
      </c>
      <c r="E25" s="35"/>
      <c r="F25" s="36"/>
    </row>
    <row r="26" customFormat="false" ht="15" hidden="false" customHeight="false" outlineLevel="0" collapsed="false">
      <c r="A26" s="34" t="s">
        <v>118</v>
      </c>
      <c r="B26" s="34" t="s">
        <v>111</v>
      </c>
      <c r="C26" s="34" t="s">
        <v>119</v>
      </c>
      <c r="D26" s="34" t="s">
        <v>120</v>
      </c>
      <c r="E26" s="35"/>
      <c r="F26" s="36"/>
    </row>
    <row r="27" customFormat="false" ht="15" hidden="false" customHeight="false" outlineLevel="0" collapsed="false">
      <c r="A27" s="34" t="s">
        <v>121</v>
      </c>
      <c r="B27" s="34" t="s">
        <v>122</v>
      </c>
      <c r="C27" s="34" t="s">
        <v>123</v>
      </c>
      <c r="D27" s="34" t="s">
        <v>124</v>
      </c>
      <c r="E27" s="35"/>
      <c r="F27" s="36"/>
    </row>
    <row r="28" customFormat="false" ht="15" hidden="false" customHeight="false" outlineLevel="0" collapsed="false">
      <c r="A28" s="34" t="s">
        <v>125</v>
      </c>
      <c r="B28" s="34" t="s">
        <v>122</v>
      </c>
      <c r="C28" s="34" t="s">
        <v>126</v>
      </c>
      <c r="D28" s="34" t="s">
        <v>124</v>
      </c>
      <c r="E28" s="35"/>
      <c r="F28" s="36"/>
    </row>
    <row r="29" customFormat="false" ht="15" hidden="false" customHeight="false" outlineLevel="0" collapsed="false">
      <c r="A29" s="34" t="s">
        <v>127</v>
      </c>
      <c r="B29" s="34" t="s">
        <v>122</v>
      </c>
      <c r="C29" s="34" t="s">
        <v>128</v>
      </c>
      <c r="D29" s="34" t="s">
        <v>101</v>
      </c>
      <c r="E29" s="35"/>
      <c r="F29" s="36"/>
    </row>
    <row r="30" customFormat="false" ht="15" hidden="false" customHeight="false" outlineLevel="0" collapsed="false">
      <c r="A30" s="34" t="s">
        <v>129</v>
      </c>
      <c r="B30" s="34" t="s">
        <v>130</v>
      </c>
      <c r="C30" s="34" t="s">
        <v>131</v>
      </c>
      <c r="D30" s="34" t="s">
        <v>74</v>
      </c>
      <c r="E30" s="35"/>
      <c r="F30" s="36"/>
    </row>
    <row r="31" customFormat="false" ht="15" hidden="false" customHeight="false" outlineLevel="0" collapsed="false">
      <c r="A31" s="34" t="s">
        <v>132</v>
      </c>
      <c r="B31" s="34" t="s">
        <v>130</v>
      </c>
      <c r="C31" s="34" t="s">
        <v>133</v>
      </c>
      <c r="D31" s="34" t="s">
        <v>134</v>
      </c>
      <c r="E31" s="35"/>
      <c r="F31" s="36"/>
    </row>
    <row r="32" customFormat="false" ht="15" hidden="false" customHeight="false" outlineLevel="0" collapsed="false">
      <c r="A32" s="34" t="s">
        <v>135</v>
      </c>
      <c r="B32" s="34" t="s">
        <v>130</v>
      </c>
      <c r="C32" s="34" t="s">
        <v>136</v>
      </c>
      <c r="D32" s="34" t="s">
        <v>74</v>
      </c>
      <c r="E32" s="35"/>
      <c r="F32" s="36"/>
    </row>
    <row r="33" customFormat="false" ht="15" hidden="false" customHeight="false" outlineLevel="0" collapsed="false">
      <c r="A33" s="34" t="s">
        <v>137</v>
      </c>
      <c r="B33" s="34" t="s">
        <v>130</v>
      </c>
      <c r="C33" s="34" t="s">
        <v>138</v>
      </c>
      <c r="D33" s="34" t="s">
        <v>139</v>
      </c>
      <c r="E33" s="35"/>
      <c r="F33" s="36"/>
    </row>
    <row r="34" customFormat="false" ht="15" hidden="false" customHeight="false" outlineLevel="0" collapsed="false">
      <c r="A34" s="34" t="s">
        <v>140</v>
      </c>
      <c r="B34" s="37"/>
      <c r="C34" s="37"/>
      <c r="D34" s="37"/>
      <c r="E34" s="35"/>
      <c r="F34" s="36"/>
    </row>
    <row r="35" customFormat="false" ht="15" hidden="false" customHeight="false" outlineLevel="0" collapsed="false">
      <c r="A35" s="34" t="s">
        <v>141</v>
      </c>
      <c r="B35" s="37"/>
      <c r="C35" s="37"/>
      <c r="D35" s="37"/>
      <c r="E35" s="35"/>
      <c r="F35" s="36"/>
    </row>
    <row r="36" customFormat="false" ht="15" hidden="false" customHeight="false" outlineLevel="0" collapsed="false">
      <c r="A36" s="34" t="s">
        <v>142</v>
      </c>
      <c r="B36" s="37"/>
      <c r="C36" s="37"/>
      <c r="D36" s="37"/>
      <c r="E36" s="35"/>
      <c r="F36" s="36"/>
    </row>
    <row r="37" customFormat="false" ht="15" hidden="false" customHeight="false" outlineLevel="0" collapsed="false">
      <c r="A37" s="34" t="s">
        <v>143</v>
      </c>
      <c r="B37" s="37"/>
      <c r="C37" s="37"/>
      <c r="D37" s="37"/>
      <c r="E37" s="35"/>
      <c r="F37" s="36"/>
    </row>
    <row r="38" customFormat="false" ht="15" hidden="false" customHeight="false" outlineLevel="0" collapsed="false">
      <c r="A38" s="34" t="s">
        <v>144</v>
      </c>
      <c r="B38" s="37"/>
      <c r="C38" s="37"/>
      <c r="D38" s="37"/>
      <c r="E38" s="35"/>
      <c r="F38" s="36"/>
    </row>
    <row r="39" customFormat="false" ht="15" hidden="false" customHeight="false" outlineLevel="0" collapsed="false">
      <c r="A39" s="34" t="s">
        <v>145</v>
      </c>
      <c r="B39" s="37"/>
      <c r="C39" s="37"/>
      <c r="D39" s="37"/>
      <c r="E39" s="35"/>
      <c r="F39" s="36"/>
    </row>
    <row r="40" customFormat="false" ht="15" hidden="false" customHeight="false" outlineLevel="0" collapsed="false">
      <c r="A40" s="34" t="s">
        <v>146</v>
      </c>
      <c r="B40" s="37"/>
      <c r="C40" s="37"/>
      <c r="D40" s="37"/>
      <c r="E40" s="35"/>
      <c r="F40" s="36"/>
    </row>
    <row r="41" customFormat="false" ht="15" hidden="false" customHeight="false" outlineLevel="0" collapsed="false">
      <c r="A41" s="34" t="s">
        <v>147</v>
      </c>
      <c r="B41" s="37"/>
      <c r="C41" s="37"/>
      <c r="D41" s="37"/>
      <c r="E41" s="35"/>
      <c r="F41" s="36"/>
    </row>
    <row r="42" customFormat="false" ht="15" hidden="false" customHeight="false" outlineLevel="0" collapsed="false">
      <c r="A42" s="34" t="s">
        <v>148</v>
      </c>
      <c r="B42" s="37"/>
      <c r="C42" s="37"/>
      <c r="D42" s="37"/>
      <c r="E42" s="35"/>
      <c r="F42" s="36"/>
    </row>
    <row r="43" customFormat="false" ht="15" hidden="false" customHeight="false" outlineLevel="0" collapsed="false">
      <c r="A43" s="34" t="s">
        <v>149</v>
      </c>
      <c r="B43" s="37"/>
      <c r="C43" s="37"/>
      <c r="D43" s="37"/>
      <c r="E43" s="35"/>
      <c r="F43" s="36"/>
    </row>
    <row r="44" customFormat="false" ht="15" hidden="false" customHeight="false" outlineLevel="0" collapsed="false">
      <c r="A44" s="34" t="s">
        <v>150</v>
      </c>
      <c r="B44" s="37"/>
      <c r="C44" s="37"/>
      <c r="D44" s="37"/>
      <c r="E44" s="35"/>
      <c r="F44" s="36"/>
    </row>
    <row r="45" customFormat="false" ht="15" hidden="false" customHeight="false" outlineLevel="0" collapsed="false">
      <c r="A45" s="34" t="s">
        <v>151</v>
      </c>
      <c r="B45" s="37"/>
      <c r="C45" s="37"/>
      <c r="D45" s="37"/>
      <c r="E45" s="35"/>
      <c r="F45" s="36"/>
    </row>
    <row r="46" customFormat="false" ht="15" hidden="false" customHeight="false" outlineLevel="0" collapsed="false">
      <c r="A46" s="34" t="s">
        <v>152</v>
      </c>
      <c r="B46" s="37"/>
      <c r="C46" s="37"/>
      <c r="D46" s="37"/>
      <c r="E46" s="35"/>
      <c r="F46" s="36"/>
    </row>
    <row r="47" customFormat="false" ht="15" hidden="false" customHeight="false" outlineLevel="0" collapsed="false">
      <c r="A47" s="34" t="s">
        <v>153</v>
      </c>
      <c r="B47" s="37"/>
      <c r="C47" s="37"/>
      <c r="D47" s="37"/>
      <c r="E47" s="35"/>
      <c r="F47" s="36"/>
    </row>
    <row r="48" customFormat="false" ht="15" hidden="false" customHeight="false" outlineLevel="0" collapsed="false">
      <c r="A48" s="34" t="s">
        <v>154</v>
      </c>
      <c r="B48" s="37"/>
      <c r="C48" s="37"/>
      <c r="D48" s="37"/>
      <c r="E48" s="35"/>
      <c r="F48" s="36"/>
    </row>
    <row r="49" customFormat="false" ht="15" hidden="false" customHeight="false" outlineLevel="0" collapsed="false">
      <c r="A49" s="34" t="s">
        <v>155</v>
      </c>
      <c r="B49" s="37"/>
      <c r="C49" s="37"/>
      <c r="D49" s="37"/>
      <c r="E49" s="35"/>
      <c r="F49" s="36"/>
    </row>
    <row r="50" customFormat="false" ht="15" hidden="false" customHeight="false" outlineLevel="0" collapsed="false">
      <c r="A50" s="34" t="s">
        <v>156</v>
      </c>
      <c r="B50" s="37"/>
      <c r="C50" s="37"/>
      <c r="D50" s="37"/>
      <c r="E50" s="35"/>
      <c r="F50" s="36"/>
    </row>
    <row r="51" customFormat="false" ht="15" hidden="false" customHeight="false" outlineLevel="0" collapsed="false">
      <c r="A51" s="34" t="s">
        <v>157</v>
      </c>
      <c r="B51" s="37"/>
      <c r="C51" s="37"/>
      <c r="D51" s="37"/>
      <c r="E51" s="35"/>
      <c r="F51" s="36"/>
    </row>
    <row r="52" customFormat="false" ht="15" hidden="false" customHeight="false" outlineLevel="0" collapsed="false">
      <c r="A52" s="34" t="s">
        <v>158</v>
      </c>
      <c r="B52" s="37"/>
      <c r="C52" s="37"/>
      <c r="D52" s="37"/>
      <c r="E52" s="35"/>
      <c r="F52" s="36"/>
    </row>
    <row r="53" customFormat="false" ht="15" hidden="false" customHeight="false" outlineLevel="0" collapsed="false">
      <c r="A53" s="34" t="s">
        <v>159</v>
      </c>
      <c r="B53" s="37"/>
      <c r="C53" s="37"/>
      <c r="D53" s="37"/>
      <c r="E53" s="35"/>
      <c r="F53" s="36"/>
    </row>
    <row r="54" customFormat="false" ht="15" hidden="false" customHeight="false" outlineLevel="0" collapsed="false">
      <c r="A54" s="34" t="s">
        <v>160</v>
      </c>
      <c r="B54" s="37"/>
      <c r="C54" s="37"/>
      <c r="D54" s="37"/>
      <c r="E54" s="35"/>
      <c r="F54" s="36"/>
    </row>
    <row r="55" customFormat="false" ht="15" hidden="false" customHeight="false" outlineLevel="0" collapsed="false">
      <c r="A55" s="34" t="s">
        <v>161</v>
      </c>
      <c r="B55" s="37"/>
      <c r="C55" s="37"/>
      <c r="D55" s="37"/>
      <c r="E55" s="35"/>
      <c r="F55" s="36"/>
    </row>
    <row r="56" customFormat="false" ht="15" hidden="false" customHeight="false" outlineLevel="0" collapsed="false">
      <c r="A56" s="34" t="s">
        <v>162</v>
      </c>
      <c r="B56" s="37"/>
      <c r="C56" s="37"/>
      <c r="D56" s="37"/>
      <c r="E56" s="35"/>
      <c r="F56" s="36"/>
    </row>
    <row r="57" customFormat="false" ht="15" hidden="false" customHeight="false" outlineLevel="0" collapsed="false">
      <c r="A57" s="34" t="s">
        <v>163</v>
      </c>
      <c r="B57" s="37"/>
      <c r="C57" s="37"/>
      <c r="D57" s="37"/>
      <c r="E57" s="35"/>
      <c r="F57" s="36"/>
    </row>
    <row r="58" customFormat="false" ht="15" hidden="false" customHeight="false" outlineLevel="0" collapsed="false">
      <c r="A58" s="34" t="s">
        <v>164</v>
      </c>
      <c r="B58" s="37"/>
      <c r="C58" s="37"/>
      <c r="D58" s="37"/>
      <c r="E58" s="35"/>
      <c r="F58" s="36"/>
    </row>
    <row r="59" customFormat="false" ht="15" hidden="false" customHeight="false" outlineLevel="0" collapsed="false">
      <c r="A59" s="34" t="s">
        <v>165</v>
      </c>
      <c r="B59" s="37"/>
      <c r="C59" s="37"/>
      <c r="D59" s="37"/>
      <c r="E59" s="35"/>
      <c r="F59" s="36"/>
    </row>
    <row r="60" customFormat="false" ht="15" hidden="false" customHeight="false" outlineLevel="0" collapsed="false">
      <c r="A60" s="34" t="s">
        <v>166</v>
      </c>
      <c r="B60" s="37"/>
      <c r="C60" s="37"/>
      <c r="D60" s="37"/>
      <c r="E60" s="35"/>
      <c r="F60" s="36"/>
    </row>
    <row r="61" customFormat="false" ht="15" hidden="false" customHeight="false" outlineLevel="0" collapsed="false">
      <c r="A61" s="34" t="s">
        <v>167</v>
      </c>
      <c r="B61" s="37"/>
      <c r="C61" s="37"/>
      <c r="D61" s="37"/>
      <c r="E61" s="35"/>
      <c r="F61" s="36"/>
    </row>
    <row r="62" customFormat="false" ht="15" hidden="false" customHeight="false" outlineLevel="0" collapsed="false">
      <c r="A62" s="34" t="s">
        <v>168</v>
      </c>
      <c r="B62" s="37"/>
      <c r="C62" s="37"/>
      <c r="D62" s="37"/>
      <c r="E62" s="35"/>
      <c r="F62" s="36"/>
    </row>
    <row r="63" customFormat="false" ht="15" hidden="false" customHeight="false" outlineLevel="0" collapsed="false">
      <c r="A63" s="34" t="s">
        <v>169</v>
      </c>
      <c r="B63" s="37"/>
      <c r="C63" s="37"/>
      <c r="D63" s="37"/>
      <c r="E63" s="35"/>
      <c r="F63" s="36"/>
    </row>
    <row r="64" customFormat="false" ht="15" hidden="false" customHeight="false" outlineLevel="0" collapsed="false">
      <c r="A64" s="34" t="s">
        <v>170</v>
      </c>
      <c r="B64" s="37"/>
      <c r="C64" s="37"/>
      <c r="D64" s="37"/>
      <c r="E64" s="35"/>
      <c r="F64" s="36"/>
    </row>
    <row r="65" customFormat="false" ht="15" hidden="false" customHeight="false" outlineLevel="0" collapsed="false">
      <c r="A65" s="34" t="s">
        <v>171</v>
      </c>
      <c r="B65" s="37"/>
      <c r="C65" s="37"/>
      <c r="D65" s="37"/>
      <c r="E65" s="35"/>
      <c r="F65" s="36"/>
    </row>
    <row r="66" customFormat="false" ht="15" hidden="false" customHeight="false" outlineLevel="0" collapsed="false">
      <c r="A66" s="34" t="s">
        <v>172</v>
      </c>
      <c r="B66" s="37"/>
      <c r="C66" s="37"/>
      <c r="D66" s="37"/>
      <c r="E66" s="35"/>
      <c r="F66" s="36"/>
    </row>
    <row r="67" customFormat="false" ht="15" hidden="false" customHeight="false" outlineLevel="0" collapsed="false">
      <c r="A67" s="34" t="s">
        <v>173</v>
      </c>
      <c r="B67" s="37"/>
      <c r="C67" s="37"/>
      <c r="D67" s="37"/>
      <c r="E67" s="35"/>
      <c r="F67" s="36"/>
    </row>
    <row r="68" customFormat="false" ht="15" hidden="false" customHeight="false" outlineLevel="0" collapsed="false">
      <c r="A68" s="34" t="s">
        <v>174</v>
      </c>
      <c r="B68" s="37"/>
      <c r="C68" s="37"/>
      <c r="D68" s="37"/>
      <c r="E68" s="35"/>
      <c r="F68" s="36"/>
    </row>
    <row r="69" customFormat="false" ht="15" hidden="false" customHeight="false" outlineLevel="0" collapsed="false">
      <c r="A69" s="34" t="s">
        <v>175</v>
      </c>
      <c r="B69" s="37"/>
      <c r="C69" s="37"/>
      <c r="D69" s="37"/>
      <c r="E69" s="35"/>
      <c r="F69" s="36"/>
    </row>
    <row r="70" customFormat="false" ht="15" hidden="false" customHeight="false" outlineLevel="0" collapsed="false">
      <c r="A70" s="34" t="s">
        <v>176</v>
      </c>
      <c r="B70" s="37"/>
      <c r="C70" s="37"/>
      <c r="D70" s="37"/>
      <c r="E70" s="35"/>
      <c r="F70" s="36"/>
    </row>
    <row r="71" customFormat="false" ht="15" hidden="false" customHeight="false" outlineLevel="0" collapsed="false">
      <c r="A71" s="34" t="s">
        <v>177</v>
      </c>
      <c r="B71" s="37"/>
      <c r="C71" s="37"/>
      <c r="D71" s="37"/>
      <c r="E71" s="35"/>
      <c r="F71" s="36"/>
    </row>
    <row r="72" customFormat="false" ht="15" hidden="false" customHeight="false" outlineLevel="0" collapsed="false">
      <c r="A72" s="34" t="s">
        <v>178</v>
      </c>
      <c r="B72" s="37"/>
      <c r="C72" s="37"/>
      <c r="D72" s="37"/>
      <c r="E72" s="35"/>
      <c r="F72" s="36"/>
    </row>
    <row r="73" customFormat="false" ht="15" hidden="false" customHeight="false" outlineLevel="0" collapsed="false">
      <c r="A73" s="34" t="s">
        <v>179</v>
      </c>
      <c r="B73" s="37"/>
      <c r="C73" s="37"/>
      <c r="D73" s="37"/>
      <c r="E73" s="35"/>
      <c r="F73" s="36"/>
    </row>
    <row r="74" customFormat="false" ht="15" hidden="false" customHeight="false" outlineLevel="0" collapsed="false">
      <c r="A74" s="34" t="s">
        <v>180</v>
      </c>
      <c r="B74" s="37"/>
      <c r="C74" s="37"/>
      <c r="D74" s="37"/>
      <c r="E74" s="35"/>
      <c r="F74" s="36"/>
    </row>
    <row r="75" customFormat="false" ht="15" hidden="false" customHeight="false" outlineLevel="0" collapsed="false">
      <c r="A75" s="34" t="s">
        <v>181</v>
      </c>
      <c r="B75" s="37"/>
      <c r="C75" s="37"/>
      <c r="D75" s="37"/>
      <c r="E75" s="35"/>
      <c r="F75" s="36"/>
    </row>
    <row r="76" customFormat="false" ht="15" hidden="false" customHeight="false" outlineLevel="0" collapsed="false">
      <c r="A76" s="34" t="s">
        <v>182</v>
      </c>
      <c r="B76" s="37"/>
      <c r="C76" s="37"/>
      <c r="D76" s="37"/>
      <c r="E76" s="35"/>
      <c r="F76" s="36"/>
    </row>
    <row r="77" customFormat="false" ht="15" hidden="false" customHeight="false" outlineLevel="0" collapsed="false">
      <c r="A77" s="34" t="s">
        <v>183</v>
      </c>
      <c r="B77" s="37"/>
      <c r="C77" s="37"/>
      <c r="D77" s="37"/>
      <c r="E77" s="35"/>
      <c r="F77" s="36"/>
    </row>
    <row r="78" customFormat="false" ht="15" hidden="false" customHeight="false" outlineLevel="0" collapsed="false">
      <c r="A78" s="34" t="s">
        <v>184</v>
      </c>
      <c r="B78" s="37"/>
      <c r="C78" s="37"/>
      <c r="D78" s="37"/>
      <c r="E78" s="35"/>
      <c r="F78" s="36"/>
    </row>
    <row r="79" customFormat="false" ht="15" hidden="false" customHeight="false" outlineLevel="0" collapsed="false">
      <c r="A79" s="34" t="s">
        <v>185</v>
      </c>
      <c r="B79" s="37"/>
      <c r="C79" s="37"/>
      <c r="D79" s="37"/>
      <c r="E79" s="35"/>
      <c r="F79" s="36"/>
    </row>
    <row r="80" customFormat="false" ht="15" hidden="false" customHeight="false" outlineLevel="0" collapsed="false">
      <c r="A80" s="34" t="s">
        <v>186</v>
      </c>
      <c r="B80" s="37"/>
      <c r="C80" s="37"/>
      <c r="D80" s="37"/>
      <c r="E80" s="35"/>
      <c r="F80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6.15" hidden="false" customHeight="false" outlineLevel="0" collapsed="false">
      <c r="A1" s="38" t="s">
        <v>187</v>
      </c>
    </row>
    <row r="2" customFormat="false" ht="15" hidden="false" customHeight="false" outlineLevel="0" collapsed="false">
      <c r="A2" s="39"/>
    </row>
    <row r="3" customFormat="false" ht="15" hidden="false" customHeight="false" outlineLevel="0" collapsed="false">
      <c r="A3" s="39" t="s">
        <v>188</v>
      </c>
    </row>
    <row r="4" customFormat="false" ht="15" hidden="false" customHeight="false" outlineLevel="0" collapsed="false">
      <c r="A4" s="39" t="s">
        <v>189</v>
      </c>
    </row>
    <row r="5" customFormat="false" ht="15" hidden="false" customHeight="false" outlineLevel="0" collapsed="false">
      <c r="A5" s="39" t="s">
        <v>190</v>
      </c>
    </row>
    <row r="6" customFormat="false" ht="15" hidden="false" customHeight="false" outlineLevel="0" collapsed="false">
      <c r="A6" s="39" t="s">
        <v>191</v>
      </c>
    </row>
    <row r="7" customFormat="false" ht="15" hidden="false" customHeight="false" outlineLevel="0" collapsed="false">
      <c r="A7" s="39" t="s">
        <v>192</v>
      </c>
    </row>
    <row r="8" customFormat="false" ht="15" hidden="false" customHeight="false" outlineLevel="0" collapsed="false">
      <c r="A8" s="39" t="s">
        <v>193</v>
      </c>
    </row>
    <row r="9" customFormat="false" ht="15" hidden="false" customHeight="false" outlineLevel="0" collapsed="false">
      <c r="A9" s="39" t="s">
        <v>194</v>
      </c>
    </row>
    <row r="10" customFormat="false" ht="15" hidden="false" customHeight="false" outlineLevel="0" collapsed="false">
      <c r="A10" s="39" t="s">
        <v>195</v>
      </c>
    </row>
    <row r="11" customFormat="false" ht="15" hidden="false" customHeight="false" outlineLevel="0" collapsed="false">
      <c r="A11" s="39" t="s">
        <v>196</v>
      </c>
    </row>
    <row r="12" customFormat="false" ht="15" hidden="false" customHeight="false" outlineLevel="0" collapsed="false">
      <c r="A12" s="39"/>
    </row>
    <row r="13" customFormat="false" ht="15" hidden="false" customHeight="false" outlineLevel="0" collapsed="false">
      <c r="A13" s="40" t="s">
        <v>197</v>
      </c>
    </row>
    <row r="14" customFormat="false" ht="15" hidden="false" customHeight="false" outlineLevel="0" collapsed="false">
      <c r="A14" s="41" t="s">
        <v>59</v>
      </c>
      <c r="B14" s="41" t="s">
        <v>22</v>
      </c>
      <c r="C14" s="41" t="s">
        <v>23</v>
      </c>
      <c r="D14" s="41" t="s">
        <v>24</v>
      </c>
      <c r="E14" s="41" t="s">
        <v>25</v>
      </c>
      <c r="F14" s="41" t="s">
        <v>198</v>
      </c>
      <c r="G14" s="41" t="s">
        <v>199</v>
      </c>
    </row>
    <row r="15" customFormat="false" ht="15" hidden="false" customHeight="false" outlineLevel="0" collapsed="false">
      <c r="A15" s="42" t="s">
        <v>67</v>
      </c>
      <c r="B15" s="42" t="s">
        <v>200</v>
      </c>
      <c r="C15" s="42" t="s">
        <v>65</v>
      </c>
      <c r="D15" s="42" t="n">
        <v>2</v>
      </c>
      <c r="E15" s="42" t="n">
        <v>3</v>
      </c>
      <c r="F15" s="43" t="n">
        <v>2500000</v>
      </c>
      <c r="G15" s="43" t="n">
        <f aca="false">D15*E15*F15</f>
        <v>15000000</v>
      </c>
    </row>
    <row r="16" customFormat="false" ht="15" hidden="false" customHeight="false" outlineLevel="0" collapsed="false">
      <c r="A16" s="42" t="s">
        <v>86</v>
      </c>
      <c r="B16" s="42" t="s">
        <v>201</v>
      </c>
      <c r="C16" s="42" t="s">
        <v>80</v>
      </c>
      <c r="D16" s="42" t="n">
        <v>25</v>
      </c>
      <c r="E16" s="42" t="n">
        <v>2</v>
      </c>
      <c r="F16" s="43" t="n">
        <v>1800000</v>
      </c>
      <c r="G16" s="43" t="n">
        <f aca="false">D16*E16*F16</f>
        <v>90000000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2026-10-22T09:59:48Z</dcterms:created>
  <dc:creator>openpyxl</dc:creator>
  <dc:description/>
  <dc:language>en-US</dc:language>
  <cp:lastModifiedBy/>
  <dcterms:modified xsi:type="dcterms:W3CDTF">2026-10-22T09:59:48Z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